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sys\OneDrive\Documents\Code\R\Paper-Two\data\age_indexes\excel_files\"/>
    </mc:Choice>
  </mc:AlternateContent>
  <xr:revisionPtr revIDLastSave="0" documentId="13_ncr:1_{83C4C5E6-3F8C-4292-B93C-B3FFB0930D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ull_model" sheetId="1" r:id="rId1"/>
    <sheet name="Statistical Signific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3" i="2"/>
  <c r="D2" i="2"/>
</calcChain>
</file>

<file path=xl/sharedStrings.xml><?xml version="1.0" encoding="utf-8"?>
<sst xmlns="http://schemas.openxmlformats.org/spreadsheetml/2006/main" count="156" uniqueCount="107">
  <si>
    <t>Tissue</t>
  </si>
  <si>
    <t>Mean</t>
  </si>
  <si>
    <t>SD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</si>
  <si>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</si>
  <si>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</si>
  <si>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</si>
  <si>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</si>
  <si>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</si>
  <si>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</si>
  <si>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</si>
  <si>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</si>
  <si>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</si>
  <si>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</si>
  <si>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</si>
  <si>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</si>
  <si>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</si>
  <si>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</si>
  <si>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</si>
  <si>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</si>
  <si>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</si>
  <si>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</si>
  <si>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</si>
  <si>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</si>
  <si>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</si>
  <si>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</si>
  <si>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</si>
  <si>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</si>
  <si>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</si>
  <si>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</si>
  <si>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</si>
  <si>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</si>
  <si>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</si>
  <si>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</si>
  <si>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</si>
  <si>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</si>
  <si>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</si>
  <si>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</si>
  <si>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</si>
  <si>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</si>
  <si>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</si>
  <si>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</si>
  <si>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</si>
  <si>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</si>
  <si>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</si>
  <si>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</si>
  <si>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</si>
  <si>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</si>
  <si>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</si>
  <si>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</si>
  <si>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</si>
  <si>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</si>
  <si>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</si>
  <si>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</si>
  <si>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adipose_subcutaneous</t>
  </si>
  <si>
    <t>adipose_visceral_omentum</t>
  </si>
  <si>
    <t>adrenal_gland</t>
  </si>
  <si>
    <t>artery_aorta</t>
  </si>
  <si>
    <t>artery_coronary</t>
  </si>
  <si>
    <t>artery_tibial</t>
  </si>
  <si>
    <t>brain_amygdala</t>
  </si>
  <si>
    <t>brain_anterior_cingulate_cortex_ba24</t>
  </si>
  <si>
    <t>brain_caudate_basal_ganglia</t>
  </si>
  <si>
    <t>brain_cerebellar_hemisphere</t>
  </si>
  <si>
    <t>brain_cerebellum</t>
  </si>
  <si>
    <t>brain_cortex</t>
  </si>
  <si>
    <t>brain_frontal_cortex_ba9</t>
  </si>
  <si>
    <t>brain_hippocampus</t>
  </si>
  <si>
    <t>brain_hypothalamus</t>
  </si>
  <si>
    <t>brain_nucleus_accumbens_basal ganglia</t>
  </si>
  <si>
    <t>brain_putamen_basal_ganglia</t>
  </si>
  <si>
    <t>brain_spinal_cord_cervical_c-1)</t>
  </si>
  <si>
    <t>brain_substantia_nigra</t>
  </si>
  <si>
    <t>breast_mammary_tissue</t>
  </si>
  <si>
    <t>cells_cultured_fibroblasts</t>
  </si>
  <si>
    <t>cells_ebv-transformed_lymphocytes</t>
  </si>
  <si>
    <t>colon_sigmoid</t>
  </si>
  <si>
    <t>colon_transverse</t>
  </si>
  <si>
    <t>esophagus_gastroesophageal_junction</t>
  </si>
  <si>
    <t>esophagus_mucosa</t>
  </si>
  <si>
    <t>esophagus_muscularis</t>
  </si>
  <si>
    <t>heart_atrial_appendage</t>
  </si>
  <si>
    <t>heart_left_ventricle</t>
  </si>
  <si>
    <t>liver</t>
  </si>
  <si>
    <t>lung</t>
  </si>
  <si>
    <t>minor_salivary_gland</t>
  </si>
  <si>
    <t>muscle_skeletal</t>
  </si>
  <si>
    <t>nerve_tibial</t>
  </si>
  <si>
    <t>ovary</t>
  </si>
  <si>
    <t>pancreas</t>
  </si>
  <si>
    <t>pituitary</t>
  </si>
  <si>
    <t>prostate</t>
  </si>
  <si>
    <t>skin_not_sun_exposed_suprapubic</t>
  </si>
  <si>
    <t>skin_sun_exposed_lower_leg</t>
  </si>
  <si>
    <t>small_intestine_terminal_ileum</t>
  </si>
  <si>
    <t>spleen</t>
  </si>
  <si>
    <t>stomach</t>
  </si>
  <si>
    <t>testis</t>
  </si>
  <si>
    <t>thyroid</t>
  </si>
  <si>
    <t>uterus</t>
  </si>
  <si>
    <t>vagina</t>
  </si>
  <si>
    <t>whole_blood</t>
  </si>
  <si>
    <t>Min Data Z Score</t>
  </si>
  <si>
    <t>Max Data Z Score</t>
  </si>
  <si>
    <t>P (Min) Value (Manually Done)</t>
  </si>
  <si>
    <t>P (Max)</t>
  </si>
  <si>
    <t>max log10(p-value)</t>
  </si>
  <si>
    <t>min log10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</si>
</sst>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"/>
  <sheetViews>
    <sheetView workbookViewId="0">
      <selection activeCell="C2" sqref="C2"/>
    </sheetView>
  </sheetViews>
  <sheetFormatPr defaultRowHeight="14.4" x14ac:dyDescent="0.3"/>
  <sheetData>
    <row r="1" spans="1:5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B2">
        <v>4.3999999999999997E-2</v>
      </c>
      <c r="C2">
        <v>0.1099247320306861</v>
      </c>
      <c r="D2">
        <v>0</v>
      </c>
      <c r="E2">
        <v>0.26666666666666672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0.4</v>
      </c>
      <c r="AL2">
        <v>0</v>
      </c>
      <c r="AM2">
        <v>0</v>
      </c>
      <c r="AN2">
        <v>0</v>
      </c>
      <c r="AO2">
        <v>0.4</v>
      </c>
      <c r="AP2">
        <v>0</v>
      </c>
      <c r="AQ2">
        <v>0</v>
      </c>
      <c r="AR2">
        <v>0</v>
      </c>
      <c r="AS2">
        <v>0.1333333333333333</v>
      </c>
      <c r="AT2">
        <v>0</v>
      </c>
      <c r="AU2">
        <v>0</v>
      </c>
      <c r="AV2">
        <v>0.2</v>
      </c>
      <c r="AW2">
        <v>0.4</v>
      </c>
      <c r="AX2">
        <v>0</v>
      </c>
      <c r="AY2">
        <v>0</v>
      </c>
      <c r="AZ2">
        <v>0</v>
      </c>
      <c r="BA2">
        <v>0</v>
      </c>
    </row>
    <row r="3" spans="1:53" x14ac:dyDescent="0.3">
      <c r="A3" t="s">
        <v>54</v>
      </c>
      <c r="B3">
        <v>-1.3333333333333331E-3</v>
      </c>
      <c r="C3">
        <v>0.102122597613411</v>
      </c>
      <c r="D3">
        <v>0</v>
      </c>
      <c r="E3">
        <v>0</v>
      </c>
      <c r="F3">
        <v>0.26666666666666672</v>
      </c>
      <c r="G3">
        <v>0</v>
      </c>
      <c r="H3">
        <v>0</v>
      </c>
      <c r="I3">
        <v>-0.26666666666666672</v>
      </c>
      <c r="J3">
        <v>0</v>
      </c>
      <c r="K3">
        <v>-0.26666666666666672</v>
      </c>
      <c r="L3">
        <v>0</v>
      </c>
      <c r="M3">
        <v>0</v>
      </c>
      <c r="N3">
        <v>-0.33333333333333331</v>
      </c>
      <c r="O3">
        <v>0</v>
      </c>
      <c r="P3">
        <v>6.6666666666666666E-2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-0.1333333333333333</v>
      </c>
      <c r="AF3">
        <v>0</v>
      </c>
      <c r="AG3">
        <v>0</v>
      </c>
      <c r="AH3">
        <v>0</v>
      </c>
      <c r="AI3">
        <v>0</v>
      </c>
      <c r="AJ3">
        <v>0</v>
      </c>
      <c r="AK3">
        <v>0.26666666666666672</v>
      </c>
      <c r="AL3">
        <v>0.1333333333333333</v>
      </c>
      <c r="AM3">
        <v>0</v>
      </c>
      <c r="AN3">
        <v>0</v>
      </c>
      <c r="AO3">
        <v>-6.6666666666666666E-2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0.26666666666666672</v>
      </c>
      <c r="AY3">
        <v>0</v>
      </c>
      <c r="AZ3">
        <v>0</v>
      </c>
      <c r="BA3">
        <v>0</v>
      </c>
    </row>
    <row r="4" spans="1:53" x14ac:dyDescent="0.3">
      <c r="A4" t="s">
        <v>55</v>
      </c>
      <c r="B4">
        <v>1.6E-2</v>
      </c>
      <c r="C4">
        <v>0.10821998256260409</v>
      </c>
      <c r="D4">
        <v>0</v>
      </c>
      <c r="E4">
        <v>0</v>
      </c>
      <c r="F4">
        <v>6.6666666666666666E-2</v>
      </c>
      <c r="G4">
        <v>0</v>
      </c>
      <c r="H4">
        <v>0</v>
      </c>
      <c r="I4">
        <v>0.26666666666666672</v>
      </c>
      <c r="J4">
        <v>0</v>
      </c>
      <c r="K4">
        <v>0</v>
      </c>
      <c r="L4">
        <v>0</v>
      </c>
      <c r="M4">
        <v>6.6666666666666666E-2</v>
      </c>
      <c r="N4">
        <v>-0.26666666666666672</v>
      </c>
      <c r="O4">
        <v>0</v>
      </c>
      <c r="P4">
        <v>0</v>
      </c>
      <c r="Q4">
        <v>0</v>
      </c>
      <c r="R4">
        <v>0</v>
      </c>
      <c r="S4">
        <v>0</v>
      </c>
      <c r="T4">
        <v>0.1333333333333333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6.6666666666666666E-2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-0.1333333333333333</v>
      </c>
      <c r="AJ4">
        <v>0</v>
      </c>
      <c r="AK4">
        <v>0</v>
      </c>
      <c r="AL4">
        <v>0</v>
      </c>
      <c r="AM4">
        <v>-0.26666666666666672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6.6666666666666666E-2</v>
      </c>
      <c r="AV4">
        <v>0</v>
      </c>
      <c r="AW4">
        <v>0</v>
      </c>
      <c r="AX4">
        <v>0</v>
      </c>
      <c r="AY4">
        <v>0.4</v>
      </c>
      <c r="AZ4">
        <v>0.4</v>
      </c>
      <c r="BA4">
        <v>0</v>
      </c>
    </row>
    <row r="5" spans="1:53" x14ac:dyDescent="0.3">
      <c r="A5" t="s">
        <v>56</v>
      </c>
      <c r="B5">
        <v>6.6666666666666662E-3</v>
      </c>
      <c r="C5">
        <v>0.13751932455422519</v>
      </c>
      <c r="D5">
        <v>0</v>
      </c>
      <c r="E5">
        <v>0</v>
      </c>
      <c r="F5">
        <v>0.4</v>
      </c>
      <c r="G5">
        <v>-0.26666666666666672</v>
      </c>
      <c r="H5">
        <v>0.26666666666666672</v>
      </c>
      <c r="I5">
        <v>0.2</v>
      </c>
      <c r="J5">
        <v>0</v>
      </c>
      <c r="K5">
        <v>0</v>
      </c>
      <c r="L5">
        <v>0</v>
      </c>
      <c r="M5">
        <v>-0.4</v>
      </c>
      <c r="N5">
        <v>-6.6666666666666666E-2</v>
      </c>
      <c r="O5">
        <v>0</v>
      </c>
      <c r="P5">
        <v>0.26666666666666672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0.26666666666666672</v>
      </c>
      <c r="AD5">
        <v>0</v>
      </c>
      <c r="AE5">
        <v>6.6666666666666666E-2</v>
      </c>
      <c r="AF5">
        <v>0</v>
      </c>
      <c r="AG5">
        <v>0</v>
      </c>
      <c r="AH5">
        <v>0</v>
      </c>
      <c r="AI5">
        <v>0</v>
      </c>
      <c r="AJ5">
        <v>0</v>
      </c>
      <c r="AK5">
        <v>6.6666666666666666E-2</v>
      </c>
      <c r="AL5">
        <v>0</v>
      </c>
      <c r="AM5">
        <v>0</v>
      </c>
      <c r="AN5">
        <v>0</v>
      </c>
      <c r="AO5">
        <v>0</v>
      </c>
      <c r="AP5">
        <v>0.2</v>
      </c>
      <c r="AQ5">
        <v>0</v>
      </c>
      <c r="AR5">
        <v>0</v>
      </c>
      <c r="AS5">
        <v>0</v>
      </c>
      <c r="AT5">
        <v>-0.4</v>
      </c>
      <c r="AU5">
        <v>0</v>
      </c>
      <c r="AV5">
        <v>0</v>
      </c>
      <c r="AW5">
        <v>-0.26666666666666672</v>
      </c>
      <c r="AX5">
        <v>0</v>
      </c>
      <c r="AY5">
        <v>0</v>
      </c>
      <c r="AZ5">
        <v>0</v>
      </c>
      <c r="BA5">
        <v>0</v>
      </c>
    </row>
    <row r="6" spans="1:53" x14ac:dyDescent="0.3">
      <c r="A6" t="s">
        <v>57</v>
      </c>
      <c r="B6">
        <v>-4.3999999999999997E-2</v>
      </c>
      <c r="C6">
        <v>0.1231557832128703</v>
      </c>
      <c r="D6">
        <v>0</v>
      </c>
      <c r="E6">
        <v>0</v>
      </c>
      <c r="F6">
        <v>0</v>
      </c>
      <c r="G6">
        <v>-0.26666666666666672</v>
      </c>
      <c r="H6">
        <v>-0.26666666666666672</v>
      </c>
      <c r="I6">
        <v>0</v>
      </c>
      <c r="J6">
        <v>0</v>
      </c>
      <c r="K6">
        <v>-0.33333333333333331</v>
      </c>
      <c r="L6">
        <v>0</v>
      </c>
      <c r="M6">
        <v>0</v>
      </c>
      <c r="N6">
        <v>0.1333333333333333</v>
      </c>
      <c r="O6">
        <v>0.2</v>
      </c>
      <c r="P6">
        <v>0.1333333333333333</v>
      </c>
      <c r="Q6">
        <v>0.1333333333333333</v>
      </c>
      <c r="R6">
        <v>0</v>
      </c>
      <c r="S6">
        <v>-0.1333333333333333</v>
      </c>
      <c r="T6">
        <v>0</v>
      </c>
      <c r="U6">
        <v>0</v>
      </c>
      <c r="V6">
        <v>-0.1333333333333333</v>
      </c>
      <c r="W6">
        <v>-0.26666666666666672</v>
      </c>
      <c r="X6">
        <v>0</v>
      </c>
      <c r="Y6">
        <v>0.1333333333333333</v>
      </c>
      <c r="Z6">
        <v>-0.1333333333333333</v>
      </c>
      <c r="AA6">
        <v>0</v>
      </c>
      <c r="AB6">
        <v>0</v>
      </c>
      <c r="AC6">
        <v>-0.1333333333333333</v>
      </c>
      <c r="AD6">
        <v>0</v>
      </c>
      <c r="AE6">
        <v>0</v>
      </c>
      <c r="AF6">
        <v>-0.26666666666666672</v>
      </c>
      <c r="AG6">
        <v>6.6666666666666666E-2</v>
      </c>
      <c r="AH6">
        <v>0</v>
      </c>
      <c r="AI6">
        <v>0</v>
      </c>
      <c r="AJ6">
        <v>0</v>
      </c>
      <c r="AK6">
        <v>0</v>
      </c>
      <c r="AL6">
        <v>0</v>
      </c>
      <c r="AM6">
        <v>6.6666666666666666E-2</v>
      </c>
      <c r="AN6">
        <v>-0.1333333333333333</v>
      </c>
      <c r="AO6">
        <v>0</v>
      </c>
      <c r="AP6">
        <v>-6.6666666666666666E-2</v>
      </c>
      <c r="AQ6">
        <v>-0.1333333333333333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-0.26666666666666672</v>
      </c>
      <c r="AZ6">
        <v>-0.26666666666666672</v>
      </c>
      <c r="BA6">
        <v>-0.26666666666666672</v>
      </c>
    </row>
    <row r="7" spans="1:53" x14ac:dyDescent="0.3">
      <c r="A7" t="s">
        <v>58</v>
      </c>
      <c r="B7">
        <v>0.08</v>
      </c>
      <c r="C7">
        <v>0.16714217880746901</v>
      </c>
      <c r="D7">
        <v>0</v>
      </c>
      <c r="E7">
        <v>0.1333333333333333</v>
      </c>
      <c r="F7">
        <v>0.4</v>
      </c>
      <c r="G7">
        <v>0</v>
      </c>
      <c r="H7">
        <v>0</v>
      </c>
      <c r="I7">
        <v>0.4</v>
      </c>
      <c r="J7">
        <v>0</v>
      </c>
      <c r="K7">
        <v>0</v>
      </c>
      <c r="L7">
        <v>6.6666666666666666E-2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0.1333333333333333</v>
      </c>
      <c r="T7">
        <v>0</v>
      </c>
      <c r="U7">
        <v>0</v>
      </c>
      <c r="V7">
        <v>0</v>
      </c>
      <c r="W7">
        <v>0</v>
      </c>
      <c r="X7">
        <v>0.26666666666666672</v>
      </c>
      <c r="Y7">
        <v>0</v>
      </c>
      <c r="Z7">
        <v>6.6666666666666666E-2</v>
      </c>
      <c r="AA7">
        <v>0</v>
      </c>
      <c r="AB7">
        <v>0.4</v>
      </c>
      <c r="AC7">
        <v>0</v>
      </c>
      <c r="AD7">
        <v>0</v>
      </c>
      <c r="AE7">
        <v>0.26666666666666672</v>
      </c>
      <c r="AF7">
        <v>0</v>
      </c>
      <c r="AG7">
        <v>0</v>
      </c>
      <c r="AH7">
        <v>0.4</v>
      </c>
      <c r="AI7">
        <v>0</v>
      </c>
      <c r="AJ7">
        <v>0</v>
      </c>
      <c r="AK7">
        <v>-0.26666666666666672</v>
      </c>
      <c r="AL7">
        <v>0.26666666666666672</v>
      </c>
      <c r="AM7">
        <v>0</v>
      </c>
      <c r="AN7">
        <v>0.4</v>
      </c>
      <c r="AO7">
        <v>0</v>
      </c>
      <c r="AP7">
        <v>0</v>
      </c>
      <c r="AQ7">
        <v>0</v>
      </c>
      <c r="AR7">
        <v>0.4</v>
      </c>
      <c r="AS7">
        <v>-6.6666666666666666E-2</v>
      </c>
      <c r="AT7">
        <v>0.46666666666666667</v>
      </c>
      <c r="AU7">
        <v>0</v>
      </c>
      <c r="AV7">
        <v>0</v>
      </c>
      <c r="AW7">
        <v>-0.1333333333333333</v>
      </c>
      <c r="AX7">
        <v>0</v>
      </c>
      <c r="AY7">
        <v>0.4</v>
      </c>
      <c r="AZ7">
        <v>0</v>
      </c>
      <c r="BA7">
        <v>0</v>
      </c>
    </row>
    <row r="8" spans="1:53" x14ac:dyDescent="0.3">
      <c r="A8" t="s">
        <v>59</v>
      </c>
      <c r="B8">
        <v>7.3333333333333334E-2</v>
      </c>
      <c r="C8">
        <v>0.16943282737768761</v>
      </c>
      <c r="D8">
        <v>0.26666666666666672</v>
      </c>
      <c r="E8">
        <v>0</v>
      </c>
      <c r="F8">
        <v>0.1333333333333333</v>
      </c>
      <c r="G8">
        <v>0.1333333333333333</v>
      </c>
      <c r="H8">
        <v>0.26666666666666672</v>
      </c>
      <c r="I8">
        <v>0</v>
      </c>
      <c r="J8">
        <v>6.6666666666666666E-2</v>
      </c>
      <c r="K8">
        <v>0</v>
      </c>
      <c r="L8">
        <v>0.33333333333333331</v>
      </c>
      <c r="M8">
        <v>0</v>
      </c>
      <c r="N8">
        <v>-0.1333333333333333</v>
      </c>
      <c r="O8">
        <v>0</v>
      </c>
      <c r="P8">
        <v>6.6666666666666666E-2</v>
      </c>
      <c r="Q8">
        <v>0.1333333333333333</v>
      </c>
      <c r="R8">
        <v>0</v>
      </c>
      <c r="S8">
        <v>-0.1333333333333333</v>
      </c>
      <c r="T8">
        <v>0.1333333333333333</v>
      </c>
      <c r="U8">
        <v>0</v>
      </c>
      <c r="V8">
        <v>0</v>
      </c>
      <c r="W8">
        <v>0.26666666666666672</v>
      </c>
      <c r="X8">
        <v>0</v>
      </c>
      <c r="Y8">
        <v>0</v>
      </c>
      <c r="Z8">
        <v>0.26666666666666672</v>
      </c>
      <c r="AA8">
        <v>0.26666666666666672</v>
      </c>
      <c r="AB8">
        <v>0.26666666666666672</v>
      </c>
      <c r="AC8">
        <v>0.33333333333333331</v>
      </c>
      <c r="AD8">
        <v>0.1333333333333333</v>
      </c>
      <c r="AE8">
        <v>-0.1333333333333333</v>
      </c>
      <c r="AF8">
        <v>0.2</v>
      </c>
      <c r="AG8">
        <v>0</v>
      </c>
      <c r="AH8">
        <v>6.6666666666666666E-2</v>
      </c>
      <c r="AI8">
        <v>0</v>
      </c>
      <c r="AJ8">
        <v>0.26666666666666672</v>
      </c>
      <c r="AK8">
        <v>0</v>
      </c>
      <c r="AL8">
        <v>0</v>
      </c>
      <c r="AM8">
        <v>0.2</v>
      </c>
      <c r="AN8">
        <v>0.33333333333333331</v>
      </c>
      <c r="AO8">
        <v>-0.26666666666666672</v>
      </c>
      <c r="AP8">
        <v>0</v>
      </c>
      <c r="AQ8">
        <v>0.1333333333333333</v>
      </c>
      <c r="AR8">
        <v>0</v>
      </c>
      <c r="AS8">
        <v>0</v>
      </c>
      <c r="AT8">
        <v>0.1333333333333333</v>
      </c>
      <c r="AU8">
        <v>0.26666666666666672</v>
      </c>
      <c r="AV8">
        <v>0.26666666666666672</v>
      </c>
      <c r="AW8">
        <v>-0.4</v>
      </c>
      <c r="AX8">
        <v>0</v>
      </c>
      <c r="AY8">
        <v>-0.4</v>
      </c>
      <c r="AZ8">
        <v>0.2</v>
      </c>
      <c r="BA8">
        <v>0</v>
      </c>
    </row>
    <row r="9" spans="1:53" x14ac:dyDescent="0.3">
      <c r="A9" t="s">
        <v>60</v>
      </c>
      <c r="B9">
        <v>-6.6666666666666671E-3</v>
      </c>
      <c r="C9">
        <v>0.15430334996209191</v>
      </c>
      <c r="D9">
        <v>-0.26666666666666672</v>
      </c>
      <c r="E9">
        <v>0</v>
      </c>
      <c r="F9">
        <v>0</v>
      </c>
      <c r="G9">
        <v>0</v>
      </c>
      <c r="H9">
        <v>-0.46666666666666667</v>
      </c>
      <c r="I9">
        <v>0.1333333333333333</v>
      </c>
      <c r="J9">
        <v>0</v>
      </c>
      <c r="K9">
        <v>0.4</v>
      </c>
      <c r="L9">
        <v>0.26666666666666672</v>
      </c>
      <c r="M9">
        <v>-6.6666666666666666E-2</v>
      </c>
      <c r="N9">
        <v>0</v>
      </c>
      <c r="O9">
        <v>-0.1333333333333333</v>
      </c>
      <c r="P9">
        <v>0.1333333333333333</v>
      </c>
      <c r="Q9">
        <v>0</v>
      </c>
      <c r="R9">
        <v>-0.1333333333333333</v>
      </c>
      <c r="S9">
        <v>0</v>
      </c>
      <c r="T9">
        <v>0.26666666666666672</v>
      </c>
      <c r="U9">
        <v>0.33333333333333331</v>
      </c>
      <c r="V9">
        <v>0</v>
      </c>
      <c r="W9">
        <v>0</v>
      </c>
      <c r="X9">
        <v>0</v>
      </c>
      <c r="Y9">
        <v>0</v>
      </c>
      <c r="Z9">
        <v>-0.26666666666666672</v>
      </c>
      <c r="AA9">
        <v>-0.2</v>
      </c>
      <c r="AB9">
        <v>0</v>
      </c>
      <c r="AC9">
        <v>0</v>
      </c>
      <c r="AD9">
        <v>0</v>
      </c>
      <c r="AE9">
        <v>0</v>
      </c>
      <c r="AF9">
        <v>-0.1333333333333333</v>
      </c>
      <c r="AG9">
        <v>0</v>
      </c>
      <c r="AH9">
        <v>-6.6666666666666666E-2</v>
      </c>
      <c r="AI9">
        <v>6.6666666666666666E-2</v>
      </c>
      <c r="AJ9">
        <v>0</v>
      </c>
      <c r="AK9">
        <v>-6.6666666666666666E-2</v>
      </c>
      <c r="AL9">
        <v>0</v>
      </c>
      <c r="AM9">
        <v>-0.2</v>
      </c>
      <c r="AN9">
        <v>0</v>
      </c>
      <c r="AO9">
        <v>0</v>
      </c>
      <c r="AP9">
        <v>0</v>
      </c>
      <c r="AQ9">
        <v>-6.6666666666666666E-2</v>
      </c>
      <c r="AR9">
        <v>-0.1333333333333333</v>
      </c>
      <c r="AS9">
        <v>0</v>
      </c>
      <c r="AT9">
        <v>0.26666666666666672</v>
      </c>
      <c r="AU9">
        <v>-0.1333333333333333</v>
      </c>
      <c r="AV9">
        <v>0.26666666666666672</v>
      </c>
      <c r="AW9">
        <v>6.6666666666666666E-2</v>
      </c>
      <c r="AX9">
        <v>0</v>
      </c>
      <c r="AY9">
        <v>-0.1333333333333333</v>
      </c>
      <c r="AZ9">
        <v>0</v>
      </c>
      <c r="BA9">
        <v>-6.6666666666666666E-2</v>
      </c>
    </row>
    <row r="10" spans="1:53" x14ac:dyDescent="0.3">
      <c r="A10" t="s">
        <v>61</v>
      </c>
      <c r="B10">
        <v>7.8666666666666663E-2</v>
      </c>
      <c r="C10">
        <v>0.1467346781086093</v>
      </c>
      <c r="D10">
        <v>0</v>
      </c>
      <c r="E10">
        <v>0</v>
      </c>
      <c r="F10">
        <v>0.26666666666666672</v>
      </c>
      <c r="G10">
        <v>0.26666666666666672</v>
      </c>
      <c r="H10">
        <v>0</v>
      </c>
      <c r="I10">
        <v>0</v>
      </c>
      <c r="J10">
        <v>0.53333333333333333</v>
      </c>
      <c r="K10">
        <v>0.4</v>
      </c>
      <c r="L10">
        <v>0</v>
      </c>
      <c r="M10">
        <v>0</v>
      </c>
      <c r="N10">
        <v>0.2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0.26666666666666672</v>
      </c>
      <c r="X10">
        <v>0</v>
      </c>
      <c r="Y10">
        <v>0</v>
      </c>
      <c r="Z10">
        <v>0</v>
      </c>
      <c r="AA10">
        <v>-0.1333333333333333</v>
      </c>
      <c r="AB10">
        <v>0.26666666666666672</v>
      </c>
      <c r="AC10">
        <v>0</v>
      </c>
      <c r="AD10">
        <v>0</v>
      </c>
      <c r="AE10">
        <v>0</v>
      </c>
      <c r="AF10">
        <v>-6.6666666666666666E-2</v>
      </c>
      <c r="AG10">
        <v>0</v>
      </c>
      <c r="AH10">
        <v>0</v>
      </c>
      <c r="AI10">
        <v>0</v>
      </c>
      <c r="AJ10">
        <v>6.6666666666666666E-2</v>
      </c>
      <c r="AK10">
        <v>0</v>
      </c>
      <c r="AL10">
        <v>0</v>
      </c>
      <c r="AM10">
        <v>0</v>
      </c>
      <c r="AN10">
        <v>0.4</v>
      </c>
      <c r="AO10">
        <v>0.26666666666666672</v>
      </c>
      <c r="AP10">
        <v>0</v>
      </c>
      <c r="AQ10">
        <v>0.26666666666666672</v>
      </c>
      <c r="AR10">
        <v>0</v>
      </c>
      <c r="AS10">
        <v>0</v>
      </c>
      <c r="AT10">
        <v>0</v>
      </c>
      <c r="AU10">
        <v>0.26666666666666672</v>
      </c>
      <c r="AV10">
        <v>0</v>
      </c>
      <c r="AW10">
        <v>0.1333333333333333</v>
      </c>
      <c r="AX10">
        <v>0.1333333333333333</v>
      </c>
      <c r="AY10">
        <v>0.4</v>
      </c>
      <c r="AZ10">
        <v>0</v>
      </c>
      <c r="BA10">
        <v>0</v>
      </c>
    </row>
    <row r="11" spans="1:53" x14ac:dyDescent="0.3">
      <c r="A11" t="s">
        <v>62</v>
      </c>
      <c r="B11">
        <v>2.5333333333333329E-2</v>
      </c>
      <c r="C11">
        <v>9.1239884662838014E-2</v>
      </c>
      <c r="D11">
        <v>0</v>
      </c>
      <c r="E11">
        <v>-0.2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0.1333333333333333</v>
      </c>
      <c r="P11">
        <v>0</v>
      </c>
      <c r="Q11">
        <v>0</v>
      </c>
      <c r="R11">
        <v>0.4</v>
      </c>
      <c r="S11">
        <v>0</v>
      </c>
      <c r="T11">
        <v>0</v>
      </c>
      <c r="U11">
        <v>0</v>
      </c>
      <c r="V11">
        <v>0.2</v>
      </c>
      <c r="W11">
        <v>0</v>
      </c>
      <c r="X11">
        <v>0</v>
      </c>
      <c r="Y11">
        <v>0.1333333333333333</v>
      </c>
      <c r="Z11">
        <v>0.26666666666666672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-6.6666666666666666E-2</v>
      </c>
      <c r="AG11">
        <v>0</v>
      </c>
      <c r="AH11">
        <v>0.1333333333333333</v>
      </c>
      <c r="AI11">
        <v>0</v>
      </c>
      <c r="AJ11">
        <v>0.26666666666666672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3">
      <c r="A12" t="s">
        <v>63</v>
      </c>
      <c r="B12">
        <v>-1.6E-2</v>
      </c>
      <c r="C12">
        <v>0.10821998256260409</v>
      </c>
      <c r="D12">
        <v>0</v>
      </c>
      <c r="E12">
        <v>0</v>
      </c>
      <c r="F12">
        <v>0</v>
      </c>
      <c r="G12">
        <v>0</v>
      </c>
      <c r="H12">
        <v>0</v>
      </c>
      <c r="I12">
        <v>0.26666666666666672</v>
      </c>
      <c r="J12">
        <v>0</v>
      </c>
      <c r="K12">
        <v>0</v>
      </c>
      <c r="L12">
        <v>-0.26666666666666672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-0.1333333333333333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-0.33333333333333331</v>
      </c>
      <c r="AB12">
        <v>-0.26666666666666672</v>
      </c>
      <c r="AC12">
        <v>-0.4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6.6666666666666666E-2</v>
      </c>
      <c r="AJ12">
        <v>0</v>
      </c>
      <c r="AK12">
        <v>0</v>
      </c>
      <c r="AL12">
        <v>0</v>
      </c>
      <c r="AM12">
        <v>0.26666666666666672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-6.6666666666666666E-2</v>
      </c>
      <c r="AX12">
        <v>0</v>
      </c>
      <c r="AY12">
        <v>6.6666666666666666E-2</v>
      </c>
      <c r="AZ12">
        <v>0</v>
      </c>
      <c r="BA12">
        <v>0</v>
      </c>
    </row>
    <row r="13" spans="1:53" x14ac:dyDescent="0.3">
      <c r="A13" t="s">
        <v>64</v>
      </c>
      <c r="B13">
        <v>6.6666666666666671E-3</v>
      </c>
      <c r="C13">
        <v>0.1120819266279983</v>
      </c>
      <c r="D13">
        <v>0.4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-0.4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-0.33333333333333331</v>
      </c>
      <c r="V13">
        <v>0</v>
      </c>
      <c r="W13">
        <v>0</v>
      </c>
      <c r="X13">
        <v>0.26666666666666672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0.26666666666666672</v>
      </c>
      <c r="AI13">
        <v>0</v>
      </c>
      <c r="AJ13">
        <v>0</v>
      </c>
      <c r="AK13">
        <v>0</v>
      </c>
      <c r="AL13">
        <v>0.1333333333333333</v>
      </c>
      <c r="AM13">
        <v>0</v>
      </c>
      <c r="AN13">
        <v>0</v>
      </c>
      <c r="AO13">
        <v>0</v>
      </c>
      <c r="AP13">
        <v>-6.6666666666666666E-2</v>
      </c>
      <c r="AQ13">
        <v>0</v>
      </c>
      <c r="AR13">
        <v>0</v>
      </c>
      <c r="AS13">
        <v>0</v>
      </c>
      <c r="AT13">
        <v>0.1333333333333333</v>
      </c>
      <c r="AU13">
        <v>0</v>
      </c>
      <c r="AV13">
        <v>-6.6666666666666666E-2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3">
      <c r="A14" t="s">
        <v>65</v>
      </c>
      <c r="B14">
        <v>0.04</v>
      </c>
      <c r="C14">
        <v>0.12562767579307541</v>
      </c>
      <c r="D14">
        <v>0.1333333333333333</v>
      </c>
      <c r="E14">
        <v>0</v>
      </c>
      <c r="F14">
        <v>0</v>
      </c>
      <c r="G14">
        <v>0.26666666666666672</v>
      </c>
      <c r="H14">
        <v>0.1333333333333333</v>
      </c>
      <c r="I14">
        <v>0</v>
      </c>
      <c r="J14">
        <v>0</v>
      </c>
      <c r="K14">
        <v>0</v>
      </c>
      <c r="L14">
        <v>-0.4</v>
      </c>
      <c r="M14">
        <v>0.2</v>
      </c>
      <c r="N14">
        <v>0</v>
      </c>
      <c r="O14">
        <v>0</v>
      </c>
      <c r="P14">
        <v>0</v>
      </c>
      <c r="Q14">
        <v>0</v>
      </c>
      <c r="R14">
        <v>0</v>
      </c>
      <c r="S14">
        <v>0.1333333333333333</v>
      </c>
      <c r="T14">
        <v>0.26666666666666672</v>
      </c>
      <c r="U14">
        <v>0</v>
      </c>
      <c r="V14">
        <v>0</v>
      </c>
      <c r="W14">
        <v>0</v>
      </c>
      <c r="X14">
        <v>0</v>
      </c>
      <c r="Y14">
        <v>6.6666666666666666E-2</v>
      </c>
      <c r="Z14">
        <v>0</v>
      </c>
      <c r="AA14">
        <v>0.1333333333333333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-0.26666666666666672</v>
      </c>
      <c r="AH14">
        <v>6.6666666666666666E-2</v>
      </c>
      <c r="AI14">
        <v>0</v>
      </c>
      <c r="AJ14">
        <v>0.26666666666666672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0.26666666666666672</v>
      </c>
      <c r="AQ14">
        <v>0</v>
      </c>
      <c r="AR14">
        <v>0.26666666666666672</v>
      </c>
      <c r="AS14">
        <v>0</v>
      </c>
      <c r="AT14">
        <v>0</v>
      </c>
      <c r="AU14">
        <v>0.26666666666666672</v>
      </c>
      <c r="AV14">
        <v>0</v>
      </c>
      <c r="AW14">
        <v>0</v>
      </c>
      <c r="AX14">
        <v>0</v>
      </c>
      <c r="AY14">
        <v>-6.6666666666666666E-2</v>
      </c>
      <c r="AZ14">
        <v>0</v>
      </c>
      <c r="BA14">
        <v>0.26666666666666672</v>
      </c>
    </row>
    <row r="15" spans="1:53" x14ac:dyDescent="0.3">
      <c r="A15" t="s">
        <v>66</v>
      </c>
      <c r="B15">
        <v>0.17733333333333329</v>
      </c>
      <c r="C15">
        <v>0.1636377837268598</v>
      </c>
      <c r="D15">
        <v>0.26666666666666672</v>
      </c>
      <c r="E15">
        <v>0.46666666666666667</v>
      </c>
      <c r="F15">
        <v>0.26666666666666672</v>
      </c>
      <c r="G15">
        <v>0.26666666666666672</v>
      </c>
      <c r="H15">
        <v>0.26666666666666672</v>
      </c>
      <c r="I15">
        <v>0.1333333333333333</v>
      </c>
      <c r="J15">
        <v>-0.46666666666666667</v>
      </c>
      <c r="K15">
        <v>0.26666666666666672</v>
      </c>
      <c r="L15">
        <v>0.26666666666666672</v>
      </c>
      <c r="M15">
        <v>0.26666666666666672</v>
      </c>
      <c r="N15">
        <v>0.1333333333333333</v>
      </c>
      <c r="O15">
        <v>0.26666666666666672</v>
      </c>
      <c r="P15">
        <v>0.26666666666666672</v>
      </c>
      <c r="Q15">
        <v>0.1333333333333333</v>
      </c>
      <c r="R15">
        <v>-6.6666666666666666E-2</v>
      </c>
      <c r="S15">
        <v>0</v>
      </c>
      <c r="T15">
        <v>0.2</v>
      </c>
      <c r="U15">
        <v>0.26666666666666672</v>
      </c>
      <c r="V15">
        <v>0.26666666666666672</v>
      </c>
      <c r="W15">
        <v>0.1333333333333333</v>
      </c>
      <c r="X15">
        <v>0.26666666666666672</v>
      </c>
      <c r="Y15">
        <v>-0.2</v>
      </c>
      <c r="Z15">
        <v>6.6666666666666666E-2</v>
      </c>
      <c r="AA15">
        <v>6.6666666666666666E-2</v>
      </c>
      <c r="AB15">
        <v>0.1333333333333333</v>
      </c>
      <c r="AC15">
        <v>0.1333333333333333</v>
      </c>
      <c r="AD15">
        <v>0.26666666666666672</v>
      </c>
      <c r="AE15">
        <v>6.6666666666666666E-2</v>
      </c>
      <c r="AF15">
        <v>0.4</v>
      </c>
      <c r="AG15">
        <v>0</v>
      </c>
      <c r="AH15">
        <v>0.26666666666666672</v>
      </c>
      <c r="AI15">
        <v>0.26666666666666672</v>
      </c>
      <c r="AJ15">
        <v>0.33333333333333331</v>
      </c>
      <c r="AK15">
        <v>0.4</v>
      </c>
      <c r="AL15">
        <v>0.26666666666666672</v>
      </c>
      <c r="AM15">
        <v>0.26666666666666672</v>
      </c>
      <c r="AN15">
        <v>0</v>
      </c>
      <c r="AO15">
        <v>0</v>
      </c>
      <c r="AP15">
        <v>0</v>
      </c>
      <c r="AQ15">
        <v>6.6666666666666666E-2</v>
      </c>
      <c r="AR15">
        <v>0.26666666666666672</v>
      </c>
      <c r="AS15">
        <v>0.2</v>
      </c>
      <c r="AT15">
        <v>-6.6666666666666666E-2</v>
      </c>
      <c r="AU15">
        <v>0.26666666666666672</v>
      </c>
      <c r="AV15">
        <v>0.26666666666666672</v>
      </c>
      <c r="AW15">
        <v>0.26666666666666672</v>
      </c>
      <c r="AX15">
        <v>0.1333333333333333</v>
      </c>
      <c r="AY15">
        <v>0.26666666666666672</v>
      </c>
      <c r="AZ15">
        <v>0.26666666666666672</v>
      </c>
      <c r="BA15">
        <v>0.33333333333333331</v>
      </c>
    </row>
    <row r="16" spans="1:53" x14ac:dyDescent="0.3">
      <c r="A16" t="s">
        <v>67</v>
      </c>
      <c r="B16">
        <v>-1.333333333333332E-3</v>
      </c>
      <c r="C16">
        <v>0.139639964651568</v>
      </c>
      <c r="D16">
        <v>-0.26666666666666672</v>
      </c>
      <c r="E16">
        <v>0.26666666666666672</v>
      </c>
      <c r="F16">
        <v>0</v>
      </c>
      <c r="G16">
        <v>0</v>
      </c>
      <c r="H16">
        <v>0</v>
      </c>
      <c r="I16">
        <v>-0.26666666666666672</v>
      </c>
      <c r="J16">
        <v>0</v>
      </c>
      <c r="K16">
        <v>0.2</v>
      </c>
      <c r="L16">
        <v>0</v>
      </c>
      <c r="M16">
        <v>0</v>
      </c>
      <c r="N16">
        <v>0</v>
      </c>
      <c r="O16">
        <v>0</v>
      </c>
      <c r="P16">
        <v>-6.6666666666666666E-2</v>
      </c>
      <c r="Q16">
        <v>0</v>
      </c>
      <c r="R16">
        <v>0.2</v>
      </c>
      <c r="S16">
        <v>0</v>
      </c>
      <c r="T16">
        <v>0</v>
      </c>
      <c r="U16">
        <v>-0.1333333333333333</v>
      </c>
      <c r="V16">
        <v>0</v>
      </c>
      <c r="W16">
        <v>0.4</v>
      </c>
      <c r="X16">
        <v>0</v>
      </c>
      <c r="Y16">
        <v>0</v>
      </c>
      <c r="Z16">
        <v>-0.26666666666666672</v>
      </c>
      <c r="AA16">
        <v>-0.33333333333333331</v>
      </c>
      <c r="AB16">
        <v>6.6666666666666666E-2</v>
      </c>
      <c r="AC16">
        <v>0</v>
      </c>
      <c r="AD16">
        <v>0.1333333333333333</v>
      </c>
      <c r="AE16">
        <v>0</v>
      </c>
      <c r="AF16">
        <v>0.26666666666666672</v>
      </c>
      <c r="AG16">
        <v>0</v>
      </c>
      <c r="AH16">
        <v>0</v>
      </c>
      <c r="AI16">
        <v>0</v>
      </c>
      <c r="AJ16">
        <v>-0.26666666666666672</v>
      </c>
      <c r="AK16">
        <v>-0.1333333333333333</v>
      </c>
      <c r="AL16">
        <v>0</v>
      </c>
      <c r="AM16">
        <v>0</v>
      </c>
      <c r="AN16">
        <v>0</v>
      </c>
      <c r="AO16">
        <v>0.26666666666666672</v>
      </c>
      <c r="AP16">
        <v>0</v>
      </c>
      <c r="AQ16">
        <v>0</v>
      </c>
      <c r="AR16">
        <v>0</v>
      </c>
      <c r="AS16">
        <v>0</v>
      </c>
      <c r="AT16">
        <v>-6.6666666666666666E-2</v>
      </c>
      <c r="AU16">
        <v>0</v>
      </c>
      <c r="AV16">
        <v>0</v>
      </c>
      <c r="AW16">
        <v>0</v>
      </c>
      <c r="AX16">
        <v>-6.6666666666666666E-2</v>
      </c>
      <c r="AY16">
        <v>-0.1333333333333333</v>
      </c>
      <c r="AZ16">
        <v>0</v>
      </c>
      <c r="BA16">
        <v>0.1333333333333333</v>
      </c>
    </row>
    <row r="17" spans="1:53" x14ac:dyDescent="0.3">
      <c r="A17" t="s">
        <v>68</v>
      </c>
      <c r="B17">
        <v>1.2E-2</v>
      </c>
      <c r="C17">
        <v>0.1358203428536382</v>
      </c>
      <c r="D17">
        <v>0</v>
      </c>
      <c r="E17">
        <v>0</v>
      </c>
      <c r="F17">
        <v>-0.26666666666666672</v>
      </c>
      <c r="G17">
        <v>0.2</v>
      </c>
      <c r="H17">
        <v>6.6666666666666666E-2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0.26666666666666672</v>
      </c>
      <c r="S17">
        <v>0</v>
      </c>
      <c r="T17">
        <v>0</v>
      </c>
      <c r="U17">
        <v>-0.2</v>
      </c>
      <c r="V17">
        <v>0</v>
      </c>
      <c r="W17">
        <v>0.1333333333333333</v>
      </c>
      <c r="X17">
        <v>0</v>
      </c>
      <c r="Y17">
        <v>0</v>
      </c>
      <c r="Z17">
        <v>0</v>
      </c>
      <c r="AA17">
        <v>0</v>
      </c>
      <c r="AB17">
        <v>0</v>
      </c>
      <c r="AC17">
        <v>6.6666666666666666E-2</v>
      </c>
      <c r="AD17">
        <v>0</v>
      </c>
      <c r="AE17">
        <v>0</v>
      </c>
      <c r="AF17">
        <v>0.2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-0.26666666666666672</v>
      </c>
      <c r="AN17">
        <v>0</v>
      </c>
      <c r="AO17">
        <v>0</v>
      </c>
      <c r="AP17">
        <v>0</v>
      </c>
      <c r="AQ17">
        <v>0.4</v>
      </c>
      <c r="AR17">
        <v>-0.26666666666666672</v>
      </c>
      <c r="AS17">
        <v>0</v>
      </c>
      <c r="AT17">
        <v>0.4</v>
      </c>
      <c r="AU17">
        <v>0.26666666666666672</v>
      </c>
      <c r="AV17">
        <v>0</v>
      </c>
      <c r="AW17">
        <v>0</v>
      </c>
      <c r="AX17">
        <v>-0.26666666666666672</v>
      </c>
      <c r="AY17">
        <v>0</v>
      </c>
      <c r="AZ17">
        <v>0</v>
      </c>
      <c r="BA17">
        <v>-0.1333333333333333</v>
      </c>
    </row>
    <row r="18" spans="1:53" x14ac:dyDescent="0.3">
      <c r="A18" t="s">
        <v>69</v>
      </c>
      <c r="B18">
        <v>5.1999999999999998E-2</v>
      </c>
      <c r="C18">
        <v>0.11608894861669521</v>
      </c>
      <c r="D18">
        <v>0</v>
      </c>
      <c r="E18">
        <v>0.26666666666666672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0.26666666666666672</v>
      </c>
      <c r="M18">
        <v>0</v>
      </c>
      <c r="N18">
        <v>0</v>
      </c>
      <c r="O18">
        <v>0</v>
      </c>
      <c r="P18">
        <v>0.26666666666666672</v>
      </c>
      <c r="Q18">
        <v>0</v>
      </c>
      <c r="R18">
        <v>0</v>
      </c>
      <c r="S18">
        <v>0.26666666666666672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0.4</v>
      </c>
      <c r="AE18">
        <v>0</v>
      </c>
      <c r="AF18">
        <v>0</v>
      </c>
      <c r="AG18">
        <v>0</v>
      </c>
      <c r="AH18">
        <v>-6.6666666666666666E-2</v>
      </c>
      <c r="AI18">
        <v>0.26666666666666672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0.26666666666666672</v>
      </c>
      <c r="AQ18">
        <v>0</v>
      </c>
      <c r="AR18">
        <v>0.2</v>
      </c>
      <c r="AS18">
        <v>0.4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6.6666666666666666E-2</v>
      </c>
      <c r="AZ18">
        <v>0</v>
      </c>
      <c r="BA18">
        <v>0</v>
      </c>
    </row>
    <row r="19" spans="1:53" x14ac:dyDescent="0.3">
      <c r="A19" t="s">
        <v>70</v>
      </c>
      <c r="B19">
        <v>8.7999999999999995E-2</v>
      </c>
      <c r="C19">
        <v>0.16738078303859211</v>
      </c>
      <c r="D19">
        <v>0.26666666666666672</v>
      </c>
      <c r="E19">
        <v>0</v>
      </c>
      <c r="F19">
        <v>0.26666666666666672</v>
      </c>
      <c r="G19">
        <v>0.26666666666666672</v>
      </c>
      <c r="H19">
        <v>0.26666666666666672</v>
      </c>
      <c r="I19">
        <v>0</v>
      </c>
      <c r="J19">
        <v>-0.1333333333333333</v>
      </c>
      <c r="K19">
        <v>0.4</v>
      </c>
      <c r="L19">
        <v>0</v>
      </c>
      <c r="M19">
        <v>0</v>
      </c>
      <c r="N19">
        <v>0.1333333333333333</v>
      </c>
      <c r="O19">
        <v>-0.26666666666666672</v>
      </c>
      <c r="P19">
        <v>0.26666666666666672</v>
      </c>
      <c r="Q19">
        <v>0.26666666666666672</v>
      </c>
      <c r="R19">
        <v>0</v>
      </c>
      <c r="S19">
        <v>0</v>
      </c>
      <c r="T19">
        <v>0.26666666666666672</v>
      </c>
      <c r="U19">
        <v>0</v>
      </c>
      <c r="V19">
        <v>0</v>
      </c>
      <c r="W19">
        <v>-0.26666666666666672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0.33333333333333331</v>
      </c>
      <c r="AD19">
        <v>0</v>
      </c>
      <c r="AE19">
        <v>0</v>
      </c>
      <c r="AF19">
        <v>0.26666666666666672</v>
      </c>
      <c r="AG19">
        <v>0.2</v>
      </c>
      <c r="AH19">
        <v>0</v>
      </c>
      <c r="AI19">
        <v>0.4</v>
      </c>
      <c r="AJ19">
        <v>0.26666666666666672</v>
      </c>
      <c r="AK19">
        <v>0</v>
      </c>
      <c r="AL19">
        <v>0</v>
      </c>
      <c r="AM19">
        <v>0</v>
      </c>
      <c r="AN19">
        <v>-0.26666666666666672</v>
      </c>
      <c r="AO19">
        <v>0.4</v>
      </c>
      <c r="AP19">
        <v>0.1333333333333333</v>
      </c>
      <c r="AQ19">
        <v>0.26666666666666672</v>
      </c>
      <c r="AR19">
        <v>0.26666666666666672</v>
      </c>
      <c r="AS19">
        <v>0</v>
      </c>
      <c r="AT19">
        <v>0</v>
      </c>
      <c r="AU19">
        <v>0</v>
      </c>
      <c r="AV19">
        <v>0</v>
      </c>
      <c r="AW19">
        <v>6.6666666666666666E-2</v>
      </c>
      <c r="AX19">
        <v>0</v>
      </c>
      <c r="AY19">
        <v>6.6666666666666666E-2</v>
      </c>
      <c r="AZ19">
        <v>0</v>
      </c>
      <c r="BA19">
        <v>0.26666666666666672</v>
      </c>
    </row>
    <row r="20" spans="1:53" x14ac:dyDescent="0.3">
      <c r="A20" t="s">
        <v>71</v>
      </c>
      <c r="B20">
        <v>0.13600000000000001</v>
      </c>
      <c r="C20">
        <v>0.19045714190466659</v>
      </c>
      <c r="D20">
        <v>-0.26666666666666672</v>
      </c>
      <c r="E20">
        <v>0.26666666666666672</v>
      </c>
      <c r="F20">
        <v>0.26666666666666672</v>
      </c>
      <c r="G20">
        <v>0.26666666666666672</v>
      </c>
      <c r="H20">
        <v>0.26666666666666672</v>
      </c>
      <c r="I20">
        <v>0.2</v>
      </c>
      <c r="J20">
        <v>0.33333333333333331</v>
      </c>
      <c r="K20">
        <v>0.2</v>
      </c>
      <c r="L20">
        <v>0.26666666666666672</v>
      </c>
      <c r="M20">
        <v>0.26666666666666672</v>
      </c>
      <c r="N20">
        <v>-0.2</v>
      </c>
      <c r="O20">
        <v>0.26666666666666672</v>
      </c>
      <c r="P20">
        <v>0.26666666666666672</v>
      </c>
      <c r="Q20">
        <v>0.26666666666666672</v>
      </c>
      <c r="R20">
        <v>0</v>
      </c>
      <c r="S20">
        <v>-0.26666666666666672</v>
      </c>
      <c r="T20">
        <v>0.4</v>
      </c>
      <c r="U20">
        <v>0.26666666666666672</v>
      </c>
      <c r="V20">
        <v>0.26666666666666672</v>
      </c>
      <c r="W20">
        <v>0.2</v>
      </c>
      <c r="X20">
        <v>0</v>
      </c>
      <c r="Y20">
        <v>0.26666666666666672</v>
      </c>
      <c r="Z20">
        <v>0.26666666666666672</v>
      </c>
      <c r="AA20">
        <v>0.1333333333333333</v>
      </c>
      <c r="AB20">
        <v>-0.2</v>
      </c>
      <c r="AC20">
        <v>-0.26666666666666672</v>
      </c>
      <c r="AD20">
        <v>0</v>
      </c>
      <c r="AE20">
        <v>0</v>
      </c>
      <c r="AF20">
        <v>0.26666666666666672</v>
      </c>
      <c r="AG20">
        <v>0.26666666666666672</v>
      </c>
      <c r="AH20">
        <v>0</v>
      </c>
      <c r="AI20">
        <v>0.2</v>
      </c>
      <c r="AJ20">
        <v>-0.26666666666666672</v>
      </c>
      <c r="AK20">
        <v>0.26666666666666672</v>
      </c>
      <c r="AL20">
        <v>-0.2</v>
      </c>
      <c r="AM20">
        <v>0.26666666666666672</v>
      </c>
      <c r="AN20">
        <v>0</v>
      </c>
      <c r="AO20">
        <v>0.33333333333333331</v>
      </c>
      <c r="AP20">
        <v>0.26666666666666672</v>
      </c>
      <c r="AQ20">
        <v>0.2</v>
      </c>
      <c r="AR20">
        <v>0.26666666666666672</v>
      </c>
      <c r="AS20">
        <v>0</v>
      </c>
      <c r="AT20">
        <v>0.26666666666666672</v>
      </c>
      <c r="AU20">
        <v>0</v>
      </c>
      <c r="AV20">
        <v>0.26666666666666672</v>
      </c>
      <c r="AW20">
        <v>-0.1333333333333333</v>
      </c>
      <c r="AX20">
        <v>6.6666666666666666E-2</v>
      </c>
      <c r="AY20">
        <v>0.2</v>
      </c>
      <c r="AZ20">
        <v>0.26666666666666672</v>
      </c>
      <c r="BA20">
        <v>0.26666666666666672</v>
      </c>
    </row>
    <row r="21" spans="1:53" x14ac:dyDescent="0.3">
      <c r="A21" t="s">
        <v>72</v>
      </c>
      <c r="B21">
        <v>1.3333333333333331E-2</v>
      </c>
      <c r="C21">
        <v>0.12918723777381461</v>
      </c>
      <c r="D21">
        <v>0</v>
      </c>
      <c r="E21">
        <v>-6.6666666666666666E-2</v>
      </c>
      <c r="F21">
        <v>-6.6666666666666666E-2</v>
      </c>
      <c r="G21">
        <v>0</v>
      </c>
      <c r="H21">
        <v>0</v>
      </c>
      <c r="I21">
        <v>0.26666666666666672</v>
      </c>
      <c r="J21">
        <v>-6.6666666666666666E-2</v>
      </c>
      <c r="K21">
        <v>0.26666666666666672</v>
      </c>
      <c r="L21">
        <v>0</v>
      </c>
      <c r="M21">
        <v>0</v>
      </c>
      <c r="N21">
        <v>0</v>
      </c>
      <c r="O21">
        <v>-0.26666666666666672</v>
      </c>
      <c r="P21">
        <v>6.6666666666666666E-2</v>
      </c>
      <c r="Q21">
        <v>0</v>
      </c>
      <c r="R21">
        <v>0.2</v>
      </c>
      <c r="S21">
        <v>0.2</v>
      </c>
      <c r="T21">
        <v>-0.2</v>
      </c>
      <c r="U21">
        <v>-0.26666666666666672</v>
      </c>
      <c r="V21">
        <v>-0.26666666666666672</v>
      </c>
      <c r="W21">
        <v>0</v>
      </c>
      <c r="X21">
        <v>0</v>
      </c>
      <c r="Y21">
        <v>0.2</v>
      </c>
      <c r="Z21">
        <v>0.26666666666666672</v>
      </c>
      <c r="AA21">
        <v>0</v>
      </c>
      <c r="AB21">
        <v>0</v>
      </c>
      <c r="AC21">
        <v>0</v>
      </c>
      <c r="AD21">
        <v>6.6666666666666666E-2</v>
      </c>
      <c r="AE21">
        <v>6.6666666666666666E-2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-0.26666666666666672</v>
      </c>
      <c r="AV21">
        <v>0.26666666666666672</v>
      </c>
      <c r="AW21">
        <v>0</v>
      </c>
      <c r="AX21">
        <v>0.26666666666666672</v>
      </c>
      <c r="AY21">
        <v>0</v>
      </c>
      <c r="AZ21">
        <v>0</v>
      </c>
      <c r="BA21">
        <v>0</v>
      </c>
    </row>
    <row r="22" spans="1:53" x14ac:dyDescent="0.3">
      <c r="A22" t="s">
        <v>73</v>
      </c>
      <c r="B22">
        <v>5.0666666666666672E-2</v>
      </c>
      <c r="C22">
        <v>0.1238534720534008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0.26666666666666672</v>
      </c>
      <c r="Q22">
        <v>0</v>
      </c>
      <c r="R22">
        <v>0</v>
      </c>
      <c r="S22">
        <v>0.26666666666666672</v>
      </c>
      <c r="T22">
        <v>0.1333333333333333</v>
      </c>
      <c r="U22">
        <v>0.4</v>
      </c>
      <c r="V22">
        <v>0</v>
      </c>
      <c r="W22">
        <v>0</v>
      </c>
      <c r="X22">
        <v>0</v>
      </c>
      <c r="Y22">
        <v>-6.6666666666666666E-2</v>
      </c>
      <c r="Z22">
        <v>0.4</v>
      </c>
      <c r="AA22">
        <v>0</v>
      </c>
      <c r="AB22">
        <v>0</v>
      </c>
      <c r="AC22">
        <v>0</v>
      </c>
      <c r="AD22">
        <v>0</v>
      </c>
      <c r="AE22">
        <v>-0.2</v>
      </c>
      <c r="AF22">
        <v>0</v>
      </c>
      <c r="AG22">
        <v>0</v>
      </c>
      <c r="AH22">
        <v>0</v>
      </c>
      <c r="AI22">
        <v>0.1333333333333333</v>
      </c>
      <c r="AJ22">
        <v>0.4</v>
      </c>
      <c r="AK22">
        <v>0.1333333333333333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0.26666666666666672</v>
      </c>
      <c r="AR22">
        <v>0</v>
      </c>
      <c r="AS22">
        <v>0</v>
      </c>
      <c r="AT22">
        <v>0.1333333333333333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0.26666666666666672</v>
      </c>
      <c r="BA22">
        <v>0</v>
      </c>
    </row>
    <row r="23" spans="1:53" x14ac:dyDescent="0.3">
      <c r="A23" t="s">
        <v>74</v>
      </c>
      <c r="B23">
        <v>-1.066666666666667E-2</v>
      </c>
      <c r="C23">
        <v>0.1105418524079765</v>
      </c>
      <c r="D23">
        <v>0.26666666666666672</v>
      </c>
      <c r="E23">
        <v>0</v>
      </c>
      <c r="F23">
        <v>0</v>
      </c>
      <c r="G23">
        <v>0</v>
      </c>
      <c r="H23">
        <v>0</v>
      </c>
      <c r="I23">
        <v>0</v>
      </c>
      <c r="J23">
        <v>-0.1333333333333333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-0.1333333333333333</v>
      </c>
      <c r="S23">
        <v>-0.26666666666666672</v>
      </c>
      <c r="T23">
        <v>0</v>
      </c>
      <c r="U23">
        <v>-0.1333333333333333</v>
      </c>
      <c r="V23">
        <v>0</v>
      </c>
      <c r="W23">
        <v>0</v>
      </c>
      <c r="X23">
        <v>6.6666666666666666E-2</v>
      </c>
      <c r="Y23">
        <v>-0.26666666666666672</v>
      </c>
      <c r="Z23">
        <v>0.2</v>
      </c>
      <c r="AA23">
        <v>0</v>
      </c>
      <c r="AB23">
        <v>6.6666666666666666E-2</v>
      </c>
      <c r="AC23">
        <v>0</v>
      </c>
      <c r="AD23">
        <v>0</v>
      </c>
      <c r="AE23">
        <v>0</v>
      </c>
      <c r="AF23">
        <v>0.26666666666666672</v>
      </c>
      <c r="AG23">
        <v>-0.1333333333333333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-6.6666666666666666E-2</v>
      </c>
      <c r="AN23">
        <v>0</v>
      </c>
      <c r="AO23">
        <v>0</v>
      </c>
      <c r="AP23">
        <v>0</v>
      </c>
      <c r="AQ23">
        <v>0</v>
      </c>
      <c r="AR23">
        <v>-6.6666666666666666E-2</v>
      </c>
      <c r="AS23">
        <v>-0.26666666666666672</v>
      </c>
      <c r="AT23">
        <v>6.6666666666666666E-2</v>
      </c>
      <c r="AU23">
        <v>-0.26666666666666672</v>
      </c>
      <c r="AV23">
        <v>0.2</v>
      </c>
      <c r="AW23">
        <v>0</v>
      </c>
      <c r="AX23">
        <v>0</v>
      </c>
      <c r="AY23">
        <v>0</v>
      </c>
      <c r="AZ23">
        <v>0</v>
      </c>
      <c r="BA23">
        <v>6.6666666666666666E-2</v>
      </c>
    </row>
    <row r="24" spans="1:53" x14ac:dyDescent="0.3">
      <c r="A24" t="s">
        <v>75</v>
      </c>
      <c r="B24">
        <v>2.2666666666666668E-2</v>
      </c>
      <c r="C24">
        <v>7.3290030505032341E-2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0.26666666666666672</v>
      </c>
      <c r="AH24">
        <v>0</v>
      </c>
      <c r="AI24">
        <v>0</v>
      </c>
      <c r="AJ24">
        <v>0.1333333333333333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0.1333333333333333</v>
      </c>
      <c r="AR24">
        <v>0.1333333333333333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6.6666666666666666E-2</v>
      </c>
      <c r="BA24">
        <v>0</v>
      </c>
    </row>
    <row r="25" spans="1:53" x14ac:dyDescent="0.3">
      <c r="A25" t="s">
        <v>76</v>
      </c>
      <c r="B25">
        <v>2.9333333333333329E-2</v>
      </c>
      <c r="C25">
        <v>0.17876370600609631</v>
      </c>
      <c r="D25">
        <v>0</v>
      </c>
      <c r="E25">
        <v>0</v>
      </c>
      <c r="F25">
        <v>0.2</v>
      </c>
      <c r="G25">
        <v>0</v>
      </c>
      <c r="H25">
        <v>0.4</v>
      </c>
      <c r="I25">
        <v>-0.4</v>
      </c>
      <c r="J25">
        <v>0</v>
      </c>
      <c r="K25">
        <v>-0.1333333333333333</v>
      </c>
      <c r="L25">
        <v>0</v>
      </c>
      <c r="M25">
        <v>-0.1333333333333333</v>
      </c>
      <c r="N25">
        <v>0</v>
      </c>
      <c r="O25">
        <v>-0.4</v>
      </c>
      <c r="P25">
        <v>0</v>
      </c>
      <c r="Q25">
        <v>0.26666666666666672</v>
      </c>
      <c r="R25">
        <v>0</v>
      </c>
      <c r="S25">
        <v>0</v>
      </c>
      <c r="T25">
        <v>0</v>
      </c>
      <c r="U25">
        <v>0.1333333333333333</v>
      </c>
      <c r="V25">
        <v>0</v>
      </c>
      <c r="W25">
        <v>0</v>
      </c>
      <c r="X25">
        <v>0.26666666666666672</v>
      </c>
      <c r="Y25">
        <v>0</v>
      </c>
      <c r="Z25">
        <v>0</v>
      </c>
      <c r="AA25">
        <v>-6.6666666666666666E-2</v>
      </c>
      <c r="AB25">
        <v>-6.6666666666666666E-2</v>
      </c>
      <c r="AC25">
        <v>0</v>
      </c>
      <c r="AD25">
        <v>0.26666666666666672</v>
      </c>
      <c r="AE25">
        <v>0.4</v>
      </c>
      <c r="AF25">
        <v>0</v>
      </c>
      <c r="AG25">
        <v>0.6</v>
      </c>
      <c r="AH25">
        <v>0.26666666666666672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0.1333333333333333</v>
      </c>
      <c r="AS25">
        <v>-0.33333333333333331</v>
      </c>
      <c r="AT25">
        <v>-0.1333333333333333</v>
      </c>
      <c r="AU25">
        <v>0</v>
      </c>
      <c r="AV25">
        <v>0</v>
      </c>
      <c r="AW25">
        <v>0</v>
      </c>
      <c r="AX25">
        <v>0.26666666666666672</v>
      </c>
      <c r="AY25">
        <v>0</v>
      </c>
      <c r="AZ25">
        <v>0</v>
      </c>
      <c r="BA25">
        <v>-6.6666666666666666E-2</v>
      </c>
    </row>
    <row r="26" spans="1:53" x14ac:dyDescent="0.3">
      <c r="A26" t="s">
        <v>77</v>
      </c>
      <c r="B26">
        <v>-1.333333333333332E-3</v>
      </c>
      <c r="C26">
        <v>0.1208360895768217</v>
      </c>
      <c r="D26">
        <v>-0.26666666666666672</v>
      </c>
      <c r="E26">
        <v>0</v>
      </c>
      <c r="F26">
        <v>0</v>
      </c>
      <c r="G26">
        <v>0.26666666666666672</v>
      </c>
      <c r="H26">
        <v>0</v>
      </c>
      <c r="I26">
        <v>0.1333333333333333</v>
      </c>
      <c r="J26">
        <v>0</v>
      </c>
      <c r="K26">
        <v>0</v>
      </c>
      <c r="L26">
        <v>0</v>
      </c>
      <c r="M26">
        <v>0</v>
      </c>
      <c r="N26">
        <v>-0.26666666666666672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-0.26666666666666672</v>
      </c>
      <c r="X26">
        <v>0</v>
      </c>
      <c r="Y26">
        <v>0</v>
      </c>
      <c r="Z26">
        <v>0.2</v>
      </c>
      <c r="AA26">
        <v>0</v>
      </c>
      <c r="AB26">
        <v>0</v>
      </c>
      <c r="AC26">
        <v>0</v>
      </c>
      <c r="AD26">
        <v>0.4</v>
      </c>
      <c r="AE26">
        <v>0</v>
      </c>
      <c r="AF26">
        <v>0</v>
      </c>
      <c r="AG26">
        <v>0.26666666666666672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-0.26666666666666672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-0.26666666666666672</v>
      </c>
      <c r="AX26">
        <v>0</v>
      </c>
      <c r="AY26">
        <v>0</v>
      </c>
      <c r="AZ26">
        <v>0</v>
      </c>
      <c r="BA26">
        <v>0</v>
      </c>
    </row>
    <row r="27" spans="1:53" x14ac:dyDescent="0.3">
      <c r="A27" t="s">
        <v>78</v>
      </c>
      <c r="B27">
        <v>3.5999999999999997E-2</v>
      </c>
      <c r="C27">
        <v>0.1183484229144994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0.1333333333333333</v>
      </c>
      <c r="L27">
        <v>0</v>
      </c>
      <c r="M27">
        <v>0</v>
      </c>
      <c r="N27">
        <v>0</v>
      </c>
      <c r="O27">
        <v>0.46666666666666667</v>
      </c>
      <c r="P27">
        <v>0</v>
      </c>
      <c r="Q27">
        <v>0</v>
      </c>
      <c r="R27">
        <v>0</v>
      </c>
      <c r="S27">
        <v>0</v>
      </c>
      <c r="T27">
        <v>0.4</v>
      </c>
      <c r="U27">
        <v>0.1333333333333333</v>
      </c>
      <c r="V27">
        <v>0.26666666666666672</v>
      </c>
      <c r="W27">
        <v>0</v>
      </c>
      <c r="X27">
        <v>0</v>
      </c>
      <c r="Y27">
        <v>0</v>
      </c>
      <c r="Z27">
        <v>0.1333333333333333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-0.26666666666666672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0.4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0.1333333333333333</v>
      </c>
      <c r="AY27">
        <v>0</v>
      </c>
      <c r="AZ27">
        <v>0</v>
      </c>
      <c r="BA27">
        <v>0</v>
      </c>
    </row>
    <row r="28" spans="1:53" x14ac:dyDescent="0.3">
      <c r="A28" t="s">
        <v>79</v>
      </c>
      <c r="B28">
        <v>-1.2E-2</v>
      </c>
      <c r="C28">
        <v>9.7766439251876877E-2</v>
      </c>
      <c r="D28">
        <v>-6.6666666666666666E-2</v>
      </c>
      <c r="E28">
        <v>0</v>
      </c>
      <c r="F28">
        <v>0</v>
      </c>
      <c r="G28">
        <v>0</v>
      </c>
      <c r="H28">
        <v>-0.2</v>
      </c>
      <c r="I28">
        <v>0</v>
      </c>
      <c r="J28">
        <v>0</v>
      </c>
      <c r="K28">
        <v>0</v>
      </c>
      <c r="L28">
        <v>0.26666666666666672</v>
      </c>
      <c r="M28">
        <v>0</v>
      </c>
      <c r="N28">
        <v>0</v>
      </c>
      <c r="O28">
        <v>-6.6666666666666666E-2</v>
      </c>
      <c r="P28">
        <v>-0.2</v>
      </c>
      <c r="Q28">
        <v>0</v>
      </c>
      <c r="R28">
        <v>0</v>
      </c>
      <c r="S28">
        <v>-0.26666666666666672</v>
      </c>
      <c r="T28">
        <v>0</v>
      </c>
      <c r="U28">
        <v>0</v>
      </c>
      <c r="V28">
        <v>-6.6666666666666666E-2</v>
      </c>
      <c r="W28">
        <v>0</v>
      </c>
      <c r="X28">
        <v>0</v>
      </c>
      <c r="Y28">
        <v>0</v>
      </c>
      <c r="Z28">
        <v>0.4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6.6666666666666666E-2</v>
      </c>
      <c r="AG28">
        <v>-0.1333333333333333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-0.1333333333333333</v>
      </c>
      <c r="AP28">
        <v>0</v>
      </c>
      <c r="AQ28">
        <v>0</v>
      </c>
      <c r="AR28">
        <v>-0.2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3">
      <c r="A29" t="s">
        <v>80</v>
      </c>
      <c r="B29">
        <v>1.3333333333333331E-2</v>
      </c>
      <c r="C29">
        <v>9.5238095238095233E-2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0.26666666666666672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-0.1333333333333333</v>
      </c>
      <c r="V29">
        <v>-0.1333333333333333</v>
      </c>
      <c r="W29">
        <v>0</v>
      </c>
      <c r="X29">
        <v>0</v>
      </c>
      <c r="Y29">
        <v>0</v>
      </c>
      <c r="Z29">
        <v>0.4</v>
      </c>
      <c r="AA29">
        <v>0.26666666666666672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-6.6666666666666666E-2</v>
      </c>
      <c r="AP29">
        <v>0.26666666666666672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-0.2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3">
      <c r="A30" t="s">
        <v>81</v>
      </c>
      <c r="B30">
        <v>-0.12</v>
      </c>
      <c r="C30">
        <v>0.20603150145508509</v>
      </c>
      <c r="D30">
        <v>0.26666666666666672</v>
      </c>
      <c r="E30">
        <v>-0.26666666666666672</v>
      </c>
      <c r="F30">
        <v>-6.6666666666666666E-2</v>
      </c>
      <c r="G30">
        <v>-0.4</v>
      </c>
      <c r="H30">
        <v>-0.26666666666666672</v>
      </c>
      <c r="I30">
        <v>-0.26666666666666672</v>
      </c>
      <c r="J30">
        <v>0.2</v>
      </c>
      <c r="K30">
        <v>-0.33333333333333331</v>
      </c>
      <c r="L30">
        <v>-0.4</v>
      </c>
      <c r="M30">
        <v>-0.26666666666666672</v>
      </c>
      <c r="N30">
        <v>-0.26666666666666672</v>
      </c>
      <c r="O30">
        <v>0.26666666666666672</v>
      </c>
      <c r="P30">
        <v>0</v>
      </c>
      <c r="Q30">
        <v>0</v>
      </c>
      <c r="R30">
        <v>0</v>
      </c>
      <c r="S30">
        <v>0</v>
      </c>
      <c r="T30">
        <v>-0.26666666666666672</v>
      </c>
      <c r="U30">
        <v>0.26666666666666672</v>
      </c>
      <c r="V30">
        <v>0.1333333333333333</v>
      </c>
      <c r="W30">
        <v>-0.26666666666666672</v>
      </c>
      <c r="X30">
        <v>-6.6666666666666666E-2</v>
      </c>
      <c r="Y30">
        <v>-0.26666666666666672</v>
      </c>
      <c r="Z30">
        <v>0.26666666666666672</v>
      </c>
      <c r="AA30">
        <v>0</v>
      </c>
      <c r="AB30">
        <v>0.26666666666666672</v>
      </c>
      <c r="AC30">
        <v>-0.26666666666666672</v>
      </c>
      <c r="AD30">
        <v>0</v>
      </c>
      <c r="AE30">
        <v>-0.26666666666666672</v>
      </c>
      <c r="AF30">
        <v>-0.26666666666666672</v>
      </c>
      <c r="AG30">
        <v>-0.26666666666666672</v>
      </c>
      <c r="AH30">
        <v>0</v>
      </c>
      <c r="AI30">
        <v>-0.26666666666666672</v>
      </c>
      <c r="AJ30">
        <v>-0.26666666666666672</v>
      </c>
      <c r="AK30">
        <v>-0.33333333333333331</v>
      </c>
      <c r="AL30">
        <v>-0.4</v>
      </c>
      <c r="AM30">
        <v>-0.26666666666666672</v>
      </c>
      <c r="AN30">
        <v>0</v>
      </c>
      <c r="AO30">
        <v>-0.26666666666666672</v>
      </c>
      <c r="AP30">
        <v>0.26666666666666672</v>
      </c>
      <c r="AQ30">
        <v>-0.26666666666666672</v>
      </c>
      <c r="AR30">
        <v>0</v>
      </c>
      <c r="AS30">
        <v>-0.26666666666666672</v>
      </c>
      <c r="AT30">
        <v>0</v>
      </c>
      <c r="AU30">
        <v>-0.26666666666666672</v>
      </c>
      <c r="AV30">
        <v>-0.26666666666666672</v>
      </c>
      <c r="AW30">
        <v>0</v>
      </c>
      <c r="AX30">
        <v>0</v>
      </c>
      <c r="AY30">
        <v>-0.33333333333333331</v>
      </c>
      <c r="AZ30">
        <v>0</v>
      </c>
      <c r="BA30">
        <v>-0.26666666666666672</v>
      </c>
    </row>
    <row r="31" spans="1:53" x14ac:dyDescent="0.3">
      <c r="A31" t="s">
        <v>82</v>
      </c>
      <c r="B31">
        <v>1.3333333333333331E-2</v>
      </c>
      <c r="C31">
        <v>0.1142857142857143</v>
      </c>
      <c r="D31">
        <v>0</v>
      </c>
      <c r="E31">
        <v>0</v>
      </c>
      <c r="F31">
        <v>0</v>
      </c>
      <c r="G31">
        <v>0</v>
      </c>
      <c r="H31">
        <v>-0.26666666666666672</v>
      </c>
      <c r="I31">
        <v>-0.2</v>
      </c>
      <c r="J31">
        <v>0</v>
      </c>
      <c r="K31">
        <v>0.26666666666666672</v>
      </c>
      <c r="L31">
        <v>0.26666666666666672</v>
      </c>
      <c r="M31">
        <v>-0.1333333333333333</v>
      </c>
      <c r="N31">
        <v>0</v>
      </c>
      <c r="O31">
        <v>0</v>
      </c>
      <c r="P31">
        <v>0</v>
      </c>
      <c r="Q31">
        <v>0.26666666666666672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-0.1333333333333333</v>
      </c>
      <c r="Y31">
        <v>0.26666666666666672</v>
      </c>
      <c r="Z31">
        <v>0</v>
      </c>
      <c r="AA31">
        <v>0</v>
      </c>
      <c r="AB31">
        <v>0.1333333333333333</v>
      </c>
      <c r="AC31">
        <v>0</v>
      </c>
      <c r="AD31">
        <v>0</v>
      </c>
      <c r="AE31">
        <v>0.1333333333333333</v>
      </c>
      <c r="AF31">
        <v>6.6666666666666666E-2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-0.26666666666666672</v>
      </c>
      <c r="AM31">
        <v>-0.1333333333333333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0.26666666666666672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0.1333333333333333</v>
      </c>
      <c r="BA31">
        <v>0</v>
      </c>
    </row>
    <row r="32" spans="1:53" x14ac:dyDescent="0.3">
      <c r="A32" t="s">
        <v>83</v>
      </c>
      <c r="B32">
        <v>1.8666666666666672E-2</v>
      </c>
      <c r="C32">
        <v>0.1242044981859132</v>
      </c>
      <c r="D32">
        <v>0</v>
      </c>
      <c r="E32">
        <v>0.4</v>
      </c>
      <c r="F32">
        <v>0</v>
      </c>
      <c r="G32">
        <v>0.26666666666666672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-0.1333333333333333</v>
      </c>
      <c r="R32">
        <v>0</v>
      </c>
      <c r="S32">
        <v>0</v>
      </c>
      <c r="T32">
        <v>-6.6666666666666666E-2</v>
      </c>
      <c r="U32">
        <v>0</v>
      </c>
      <c r="V32">
        <v>6.6666666666666666E-2</v>
      </c>
      <c r="W32">
        <v>0</v>
      </c>
      <c r="X32">
        <v>0</v>
      </c>
      <c r="Y32">
        <v>0</v>
      </c>
      <c r="Z32">
        <v>0</v>
      </c>
      <c r="AA32">
        <v>0.1333333333333333</v>
      </c>
      <c r="AB32">
        <v>0</v>
      </c>
      <c r="AC32">
        <v>0</v>
      </c>
      <c r="AD32">
        <v>0.26666666666666672</v>
      </c>
      <c r="AE32">
        <v>0.26666666666666672</v>
      </c>
      <c r="AF32">
        <v>-0.26666666666666672</v>
      </c>
      <c r="AG32">
        <v>-0.26666666666666672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0.26666666666666672</v>
      </c>
      <c r="AT32">
        <v>0</v>
      </c>
      <c r="AU32">
        <v>0</v>
      </c>
      <c r="AV32">
        <v>0</v>
      </c>
      <c r="AW32">
        <v>0</v>
      </c>
      <c r="AX32">
        <v>-0.26666666666666672</v>
      </c>
      <c r="AY32">
        <v>0.26666666666666672</v>
      </c>
      <c r="AZ32">
        <v>0</v>
      </c>
      <c r="BA32">
        <v>0</v>
      </c>
    </row>
    <row r="33" spans="1:53" x14ac:dyDescent="0.3">
      <c r="A33" t="s">
        <v>84</v>
      </c>
      <c r="B33">
        <v>-6.8000000000000005E-2</v>
      </c>
      <c r="C33">
        <v>0.19447702998746089</v>
      </c>
      <c r="D33">
        <v>0</v>
      </c>
      <c r="E33">
        <v>0.26666666666666672</v>
      </c>
      <c r="F33">
        <v>-0.46666666666666667</v>
      </c>
      <c r="G33">
        <v>0</v>
      </c>
      <c r="H33">
        <v>-6.6666666666666666E-2</v>
      </c>
      <c r="I33">
        <v>-6.6666666666666666E-2</v>
      </c>
      <c r="J33">
        <v>0.26666666666666672</v>
      </c>
      <c r="K33">
        <v>0.26666666666666672</v>
      </c>
      <c r="L33">
        <v>6.6666666666666666E-2</v>
      </c>
      <c r="M33">
        <v>-0.26666666666666672</v>
      </c>
      <c r="N33">
        <v>0.26666666666666672</v>
      </c>
      <c r="O33">
        <v>-0.2</v>
      </c>
      <c r="P33">
        <v>0</v>
      </c>
      <c r="Q33">
        <v>-6.6666666666666666E-2</v>
      </c>
      <c r="R33">
        <v>-6.6666666666666666E-2</v>
      </c>
      <c r="S33">
        <v>-0.26666666666666672</v>
      </c>
      <c r="T33">
        <v>-0.26666666666666672</v>
      </c>
      <c r="U33">
        <v>0.26666666666666672</v>
      </c>
      <c r="V33">
        <v>-0.2</v>
      </c>
      <c r="W33">
        <v>-0.26666666666666672</v>
      </c>
      <c r="X33">
        <v>-0.26666666666666672</v>
      </c>
      <c r="Y33">
        <v>-6.6666666666666666E-2</v>
      </c>
      <c r="Z33">
        <v>0</v>
      </c>
      <c r="AA33">
        <v>0.26666666666666672</v>
      </c>
      <c r="AB33">
        <v>-6.6666666666666666E-2</v>
      </c>
      <c r="AC33">
        <v>0</v>
      </c>
      <c r="AD33">
        <v>-0.2</v>
      </c>
      <c r="AE33">
        <v>-6.6666666666666666E-2</v>
      </c>
      <c r="AF33">
        <v>6.6666666666666666E-2</v>
      </c>
      <c r="AG33">
        <v>-0.2</v>
      </c>
      <c r="AH33">
        <v>-0.2</v>
      </c>
      <c r="AI33">
        <v>-6.6666666666666666E-2</v>
      </c>
      <c r="AJ33">
        <v>-0.26666666666666672</v>
      </c>
      <c r="AK33">
        <v>-0.26666666666666672</v>
      </c>
      <c r="AL33">
        <v>-0.26666666666666672</v>
      </c>
      <c r="AM33">
        <v>-0.26666666666666672</v>
      </c>
      <c r="AN33">
        <v>-0.26666666666666672</v>
      </c>
      <c r="AO33">
        <v>0</v>
      </c>
      <c r="AP33">
        <v>0.1333333333333333</v>
      </c>
      <c r="AQ33">
        <v>0</v>
      </c>
      <c r="AR33">
        <v>0.2</v>
      </c>
      <c r="AS33">
        <v>-6.6666666666666666E-2</v>
      </c>
      <c r="AT33">
        <v>-0.26666666666666672</v>
      </c>
      <c r="AU33">
        <v>-0.2</v>
      </c>
      <c r="AV33">
        <v>0.4</v>
      </c>
      <c r="AW33">
        <v>-0.26666666666666672</v>
      </c>
      <c r="AX33">
        <v>-6.6666666666666666E-2</v>
      </c>
      <c r="AY33">
        <v>-0.26666666666666672</v>
      </c>
      <c r="AZ33">
        <v>-6.6666666666666666E-2</v>
      </c>
      <c r="BA33">
        <v>0</v>
      </c>
    </row>
    <row r="34" spans="1:53" x14ac:dyDescent="0.3">
      <c r="A34" t="s">
        <v>85</v>
      </c>
      <c r="B34">
        <v>0.06</v>
      </c>
      <c r="C34">
        <v>0.15605685341118039</v>
      </c>
      <c r="D34">
        <v>0.26666666666666672</v>
      </c>
      <c r="E34">
        <v>0</v>
      </c>
      <c r="F34">
        <v>0</v>
      </c>
      <c r="G34">
        <v>0.46666666666666667</v>
      </c>
      <c r="H34">
        <v>0</v>
      </c>
      <c r="I34">
        <v>0.2</v>
      </c>
      <c r="J34">
        <v>0.1333333333333333</v>
      </c>
      <c r="K34">
        <v>0</v>
      </c>
      <c r="L34">
        <v>0.1333333333333333</v>
      </c>
      <c r="M34">
        <v>0</v>
      </c>
      <c r="N34">
        <v>0</v>
      </c>
      <c r="O34">
        <v>0.46666666666666667</v>
      </c>
      <c r="P34">
        <v>0</v>
      </c>
      <c r="Q34">
        <v>0.1333333333333333</v>
      </c>
      <c r="R34">
        <v>0</v>
      </c>
      <c r="S34">
        <v>0</v>
      </c>
      <c r="T34">
        <v>0</v>
      </c>
      <c r="U34">
        <v>0</v>
      </c>
      <c r="V34">
        <v>0.1333333333333333</v>
      </c>
      <c r="W34">
        <v>0.1333333333333333</v>
      </c>
      <c r="X34">
        <v>0.26666666666666672</v>
      </c>
      <c r="Y34">
        <v>0</v>
      </c>
      <c r="Z34">
        <v>-0.26666666666666672</v>
      </c>
      <c r="AA34">
        <v>0</v>
      </c>
      <c r="AB34">
        <v>0</v>
      </c>
      <c r="AC34">
        <v>0.4</v>
      </c>
      <c r="AD34">
        <v>0.2</v>
      </c>
      <c r="AE34">
        <v>6.6666666666666666E-2</v>
      </c>
      <c r="AF34">
        <v>-0.26666666666666672</v>
      </c>
      <c r="AG34">
        <v>0</v>
      </c>
      <c r="AH34">
        <v>0.1333333333333333</v>
      </c>
      <c r="AI34">
        <v>0</v>
      </c>
      <c r="AJ34">
        <v>0</v>
      </c>
      <c r="AK34">
        <v>0</v>
      </c>
      <c r="AL34">
        <v>0</v>
      </c>
      <c r="AM34">
        <v>0.26666666666666672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-0.26666666666666672</v>
      </c>
      <c r="AU34">
        <v>0</v>
      </c>
      <c r="AV34">
        <v>0</v>
      </c>
      <c r="AW34">
        <v>0</v>
      </c>
      <c r="AX34">
        <v>0.4</v>
      </c>
      <c r="AY34">
        <v>0</v>
      </c>
      <c r="AZ34">
        <v>0</v>
      </c>
      <c r="BA34">
        <v>0</v>
      </c>
    </row>
    <row r="35" spans="1:53" x14ac:dyDescent="0.3">
      <c r="A35" t="s">
        <v>86</v>
      </c>
      <c r="B35">
        <v>1.3333333333333331E-2</v>
      </c>
      <c r="C35">
        <v>6.7343502970147379E-2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0.1333333333333333</v>
      </c>
      <c r="N35">
        <v>0</v>
      </c>
      <c r="O35">
        <v>0.1333333333333333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0.1333333333333333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-0.1333333333333333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0.4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3">
      <c r="A36" t="s">
        <v>87</v>
      </c>
      <c r="B36">
        <v>-7.2000000000000008E-2</v>
      </c>
      <c r="C36">
        <v>0.16651149238868071</v>
      </c>
      <c r="D36">
        <v>-0.26666666666666672</v>
      </c>
      <c r="E36">
        <v>0</v>
      </c>
      <c r="F36">
        <v>0</v>
      </c>
      <c r="G36">
        <v>0.1333333333333333</v>
      </c>
      <c r="H36">
        <v>-0.26666666666666672</v>
      </c>
      <c r="I36">
        <v>0.33333333333333331</v>
      </c>
      <c r="J36">
        <v>0</v>
      </c>
      <c r="K36">
        <v>0</v>
      </c>
      <c r="L36">
        <v>0</v>
      </c>
      <c r="M36">
        <v>0</v>
      </c>
      <c r="N36">
        <v>0</v>
      </c>
      <c r="O36">
        <v>-6.6666666666666666E-2</v>
      </c>
      <c r="P36">
        <v>0</v>
      </c>
      <c r="Q36">
        <v>0</v>
      </c>
      <c r="R36">
        <v>0</v>
      </c>
      <c r="S36">
        <v>-6.6666666666666666E-2</v>
      </c>
      <c r="T36">
        <v>-0.2</v>
      </c>
      <c r="U36">
        <v>-0.4</v>
      </c>
      <c r="V36">
        <v>0</v>
      </c>
      <c r="W36">
        <v>-0.26666666666666672</v>
      </c>
      <c r="X36">
        <v>-0.1333333333333333</v>
      </c>
      <c r="Y36">
        <v>-0.1333333333333333</v>
      </c>
      <c r="Z36">
        <v>0.2</v>
      </c>
      <c r="AA36">
        <v>-0.33333333333333331</v>
      </c>
      <c r="AB36">
        <v>0</v>
      </c>
      <c r="AC36">
        <v>0</v>
      </c>
      <c r="AD36">
        <v>-0.26666666666666672</v>
      </c>
      <c r="AE36">
        <v>0</v>
      </c>
      <c r="AF36">
        <v>0.26666666666666672</v>
      </c>
      <c r="AG36">
        <v>-0.26666666666666672</v>
      </c>
      <c r="AH36">
        <v>0</v>
      </c>
      <c r="AI36">
        <v>-0.2</v>
      </c>
      <c r="AJ36">
        <v>-0.2</v>
      </c>
      <c r="AK36">
        <v>-0.4</v>
      </c>
      <c r="AL36">
        <v>-0.2</v>
      </c>
      <c r="AM36">
        <v>0.1333333333333333</v>
      </c>
      <c r="AN36">
        <v>-0.26666666666666672</v>
      </c>
      <c r="AO36">
        <v>-6.6666666666666666E-2</v>
      </c>
      <c r="AP36">
        <v>0</v>
      </c>
      <c r="AQ36">
        <v>-0.2</v>
      </c>
      <c r="AR36">
        <v>0.1333333333333333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-0.1333333333333333</v>
      </c>
      <c r="BA36">
        <v>-0.46666666666666667</v>
      </c>
    </row>
    <row r="37" spans="1:53" x14ac:dyDescent="0.3">
      <c r="A37" t="s">
        <v>88</v>
      </c>
      <c r="B37">
        <v>4.0000000000000001E-3</v>
      </c>
      <c r="C37">
        <v>0.1064027346928329</v>
      </c>
      <c r="D37">
        <v>0</v>
      </c>
      <c r="E37">
        <v>0.26666666666666672</v>
      </c>
      <c r="F37">
        <v>-0.26666666666666672</v>
      </c>
      <c r="G37">
        <v>0</v>
      </c>
      <c r="H37">
        <v>0</v>
      </c>
      <c r="I37">
        <v>0.2</v>
      </c>
      <c r="J37">
        <v>0</v>
      </c>
      <c r="K37">
        <v>-6.6666666666666666E-2</v>
      </c>
      <c r="L37">
        <v>-6.6666666666666666E-2</v>
      </c>
      <c r="M37">
        <v>0</v>
      </c>
      <c r="N37">
        <v>0</v>
      </c>
      <c r="O37">
        <v>-0.26666666666666672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-0.1333333333333333</v>
      </c>
      <c r="W37">
        <v>0</v>
      </c>
      <c r="X37">
        <v>0.2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0.26666666666666672</v>
      </c>
      <c r="AE37">
        <v>0</v>
      </c>
      <c r="AF37">
        <v>0</v>
      </c>
      <c r="AG37">
        <v>-0.26666666666666672</v>
      </c>
      <c r="AH37">
        <v>0</v>
      </c>
      <c r="AI37">
        <v>-6.6666666666666666E-2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0.1333333333333333</v>
      </c>
      <c r="AW37">
        <v>0</v>
      </c>
      <c r="AX37">
        <v>0</v>
      </c>
      <c r="AY37">
        <v>0</v>
      </c>
      <c r="AZ37">
        <v>0</v>
      </c>
      <c r="BA37">
        <v>0.26666666666666672</v>
      </c>
    </row>
    <row r="38" spans="1:53" x14ac:dyDescent="0.3">
      <c r="A38" t="s">
        <v>89</v>
      </c>
      <c r="B38">
        <v>-4.0000000000000001E-3</v>
      </c>
      <c r="C38">
        <v>0.1153993362317179</v>
      </c>
      <c r="D38">
        <v>0</v>
      </c>
      <c r="E38">
        <v>0</v>
      </c>
      <c r="F38">
        <v>0</v>
      </c>
      <c r="G38">
        <v>0</v>
      </c>
      <c r="H38">
        <v>-0.4</v>
      </c>
      <c r="I38">
        <v>0</v>
      </c>
      <c r="J38">
        <v>0</v>
      </c>
      <c r="K38">
        <v>0</v>
      </c>
      <c r="L38">
        <v>-0.26666666666666672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0.26666666666666672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0.1333333333333333</v>
      </c>
      <c r="AG38">
        <v>0</v>
      </c>
      <c r="AH38">
        <v>-0.1333333333333333</v>
      </c>
      <c r="AI38">
        <v>0</v>
      </c>
      <c r="AJ38">
        <v>0</v>
      </c>
      <c r="AK38">
        <v>0.2</v>
      </c>
      <c r="AL38">
        <v>0.2</v>
      </c>
      <c r="AM38">
        <v>0</v>
      </c>
      <c r="AN38">
        <v>0</v>
      </c>
      <c r="AO38">
        <v>0.26666666666666672</v>
      </c>
      <c r="AP38">
        <v>0</v>
      </c>
      <c r="AQ38">
        <v>-6.6666666666666666E-2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-0.4</v>
      </c>
      <c r="AZ38">
        <v>0</v>
      </c>
      <c r="BA38">
        <v>0</v>
      </c>
    </row>
    <row r="39" spans="1:53" x14ac:dyDescent="0.3">
      <c r="A39" t="s">
        <v>90</v>
      </c>
      <c r="B39">
        <v>1.3333333333333339E-3</v>
      </c>
      <c r="C39">
        <v>0.1447431065488925</v>
      </c>
      <c r="D39">
        <v>0.2</v>
      </c>
      <c r="E39">
        <v>0</v>
      </c>
      <c r="F39">
        <v>0</v>
      </c>
      <c r="G39">
        <v>-0.1333333333333333</v>
      </c>
      <c r="H39">
        <v>0</v>
      </c>
      <c r="I39">
        <v>0</v>
      </c>
      <c r="J39">
        <v>0</v>
      </c>
      <c r="K39">
        <v>0</v>
      </c>
      <c r="L39">
        <v>-0.26666666666666672</v>
      </c>
      <c r="M39">
        <v>0</v>
      </c>
      <c r="N39">
        <v>0</v>
      </c>
      <c r="O39">
        <v>0.26666666666666672</v>
      </c>
      <c r="P39">
        <v>0</v>
      </c>
      <c r="Q39">
        <v>0</v>
      </c>
      <c r="R39">
        <v>6.6666666666666666E-2</v>
      </c>
      <c r="S39">
        <v>0</v>
      </c>
      <c r="T39">
        <v>-6.6666666666666666E-2</v>
      </c>
      <c r="U39">
        <v>0</v>
      </c>
      <c r="V39">
        <v>0</v>
      </c>
      <c r="W39">
        <v>0.2</v>
      </c>
      <c r="X39">
        <v>0</v>
      </c>
      <c r="Y39">
        <v>0</v>
      </c>
      <c r="Z39">
        <v>0.26666666666666672</v>
      </c>
      <c r="AA39">
        <v>-0.1333333333333333</v>
      </c>
      <c r="AB39">
        <v>-6.6666666666666666E-2</v>
      </c>
      <c r="AC39">
        <v>0.26666666666666672</v>
      </c>
      <c r="AD39">
        <v>0</v>
      </c>
      <c r="AE39">
        <v>0</v>
      </c>
      <c r="AF39">
        <v>0</v>
      </c>
      <c r="AG39">
        <v>-6.6666666666666666E-2</v>
      </c>
      <c r="AH39">
        <v>-0.26666666666666672</v>
      </c>
      <c r="AI39">
        <v>0</v>
      </c>
      <c r="AJ39">
        <v>-0.26666666666666672</v>
      </c>
      <c r="AK39">
        <v>0</v>
      </c>
      <c r="AL39">
        <v>0</v>
      </c>
      <c r="AM39">
        <v>0</v>
      </c>
      <c r="AN39">
        <v>0</v>
      </c>
      <c r="AO39">
        <v>0.33333333333333331</v>
      </c>
      <c r="AP39">
        <v>-0.26666666666666672</v>
      </c>
      <c r="AQ39">
        <v>-0.26666666666666672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0.26666666666666672</v>
      </c>
      <c r="AY39">
        <v>0.26666666666666672</v>
      </c>
      <c r="AZ39">
        <v>-0.26666666666666672</v>
      </c>
      <c r="BA39">
        <v>0</v>
      </c>
    </row>
    <row r="40" spans="1:53" x14ac:dyDescent="0.3">
      <c r="A40" t="s">
        <v>91</v>
      </c>
      <c r="B40">
        <v>1.3333333333333331E-2</v>
      </c>
      <c r="C40">
        <v>6.7343502970147379E-2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0.26666666666666672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3">
      <c r="A41" t="s">
        <v>92</v>
      </c>
      <c r="B41">
        <v>1.8666666666666672E-2</v>
      </c>
      <c r="C41">
        <v>8.085708676872809E-2</v>
      </c>
      <c r="D41">
        <v>0</v>
      </c>
      <c r="E41">
        <v>0</v>
      </c>
      <c r="F41">
        <v>0.1333333333333333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0.4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3">
      <c r="A42" t="s">
        <v>93</v>
      </c>
      <c r="B42">
        <v>1.2E-2</v>
      </c>
      <c r="C42">
        <v>0.14549314062269039</v>
      </c>
      <c r="D42">
        <v>0</v>
      </c>
      <c r="E42">
        <v>0</v>
      </c>
      <c r="F42">
        <v>-0.4</v>
      </c>
      <c r="G42">
        <v>0</v>
      </c>
      <c r="H42">
        <v>0</v>
      </c>
      <c r="I42">
        <v>0</v>
      </c>
      <c r="J42">
        <v>-0.2</v>
      </c>
      <c r="K42">
        <v>0.26666666666666672</v>
      </c>
      <c r="L42">
        <v>0</v>
      </c>
      <c r="M42">
        <v>-6.6666666666666666E-2</v>
      </c>
      <c r="N42">
        <v>-6.6666666666666666E-2</v>
      </c>
      <c r="O42">
        <v>0</v>
      </c>
      <c r="P42">
        <v>-6.6666666666666666E-2</v>
      </c>
      <c r="Q42">
        <v>0</v>
      </c>
      <c r="R42">
        <v>0</v>
      </c>
      <c r="S42">
        <v>0</v>
      </c>
      <c r="T42">
        <v>0</v>
      </c>
      <c r="U42">
        <v>0.26666666666666672</v>
      </c>
      <c r="V42">
        <v>0.1333333333333333</v>
      </c>
      <c r="W42">
        <v>0</v>
      </c>
      <c r="X42">
        <v>-0.1333333333333333</v>
      </c>
      <c r="Y42">
        <v>0</v>
      </c>
      <c r="Z42">
        <v>-0.26666666666666672</v>
      </c>
      <c r="AA42">
        <v>0.26666666666666672</v>
      </c>
      <c r="AB42">
        <v>0</v>
      </c>
      <c r="AC42">
        <v>0.26666666666666672</v>
      </c>
      <c r="AD42">
        <v>0</v>
      </c>
      <c r="AE42">
        <v>0.33333333333333331</v>
      </c>
      <c r="AF42">
        <v>0</v>
      </c>
      <c r="AG42">
        <v>-0.1333333333333333</v>
      </c>
      <c r="AH42">
        <v>0</v>
      </c>
      <c r="AI42">
        <v>0</v>
      </c>
      <c r="AJ42">
        <v>0.1333333333333333</v>
      </c>
      <c r="AK42">
        <v>0</v>
      </c>
      <c r="AL42">
        <v>-0.1333333333333333</v>
      </c>
      <c r="AM42">
        <v>0</v>
      </c>
      <c r="AN42">
        <v>0</v>
      </c>
      <c r="AO42">
        <v>-0.2</v>
      </c>
      <c r="AP42">
        <v>0</v>
      </c>
      <c r="AQ42">
        <v>0</v>
      </c>
      <c r="AR42">
        <v>0</v>
      </c>
      <c r="AS42">
        <v>0.1333333333333333</v>
      </c>
      <c r="AT42">
        <v>0.26666666666666672</v>
      </c>
      <c r="AU42">
        <v>0</v>
      </c>
      <c r="AV42">
        <v>0</v>
      </c>
      <c r="AW42">
        <v>-0.1333333333333333</v>
      </c>
      <c r="AX42">
        <v>0</v>
      </c>
      <c r="AY42">
        <v>0.2</v>
      </c>
      <c r="AZ42">
        <v>0.26666666666666672</v>
      </c>
      <c r="BA42">
        <v>-0.1333333333333333</v>
      </c>
    </row>
    <row r="43" spans="1:53" x14ac:dyDescent="0.3">
      <c r="A43" t="s">
        <v>94</v>
      </c>
      <c r="B43">
        <v>-4.6666666666666669E-2</v>
      </c>
      <c r="C43">
        <v>0.13485525960482189</v>
      </c>
      <c r="D43">
        <v>0</v>
      </c>
      <c r="E43">
        <v>0</v>
      </c>
      <c r="F43">
        <v>0</v>
      </c>
      <c r="G43">
        <v>0</v>
      </c>
      <c r="H43">
        <v>0.2</v>
      </c>
      <c r="I43">
        <v>-0.26666666666666672</v>
      </c>
      <c r="J43">
        <v>0</v>
      </c>
      <c r="K43">
        <v>-0.2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-0.4</v>
      </c>
      <c r="U43">
        <v>-6.6666666666666666E-2</v>
      </c>
      <c r="V43">
        <v>0</v>
      </c>
      <c r="W43">
        <v>0</v>
      </c>
      <c r="X43">
        <v>0</v>
      </c>
      <c r="Y43">
        <v>-0.2</v>
      </c>
      <c r="Z43">
        <v>0.26666666666666672</v>
      </c>
      <c r="AA43">
        <v>0</v>
      </c>
      <c r="AB43">
        <v>0</v>
      </c>
      <c r="AC43">
        <v>0.26666666666666672</v>
      </c>
      <c r="AD43">
        <v>-0.26666666666666672</v>
      </c>
      <c r="AE43">
        <v>-0.26666666666666672</v>
      </c>
      <c r="AF43">
        <v>0</v>
      </c>
      <c r="AG43">
        <v>-0.1333333333333333</v>
      </c>
      <c r="AH43">
        <v>-0.1333333333333333</v>
      </c>
      <c r="AI43">
        <v>0</v>
      </c>
      <c r="AJ43">
        <v>-0.26666666666666672</v>
      </c>
      <c r="AK43">
        <v>0</v>
      </c>
      <c r="AL43">
        <v>-6.6666666666666666E-2</v>
      </c>
      <c r="AM43">
        <v>0</v>
      </c>
      <c r="AN43">
        <v>0</v>
      </c>
      <c r="AO43">
        <v>-0.4</v>
      </c>
      <c r="AP43">
        <v>0</v>
      </c>
      <c r="AQ43">
        <v>0</v>
      </c>
      <c r="AR43">
        <v>0</v>
      </c>
      <c r="AS43">
        <v>0</v>
      </c>
      <c r="AT43">
        <v>-0.1333333333333333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-0.26666666666666672</v>
      </c>
    </row>
    <row r="44" spans="1:53" x14ac:dyDescent="0.3">
      <c r="A44" t="s">
        <v>95</v>
      </c>
      <c r="B44">
        <v>-8.7999999999999995E-2</v>
      </c>
      <c r="C44">
        <v>0.18439826758523351</v>
      </c>
      <c r="D44">
        <v>-0.26666666666666672</v>
      </c>
      <c r="E44">
        <v>0</v>
      </c>
      <c r="F44">
        <v>-6.6666666666666666E-2</v>
      </c>
      <c r="G44">
        <v>-0.1333333333333333</v>
      </c>
      <c r="H44">
        <v>-6.6666666666666666E-2</v>
      </c>
      <c r="I44">
        <v>-0.26666666666666672</v>
      </c>
      <c r="J44">
        <v>-0.26666666666666672</v>
      </c>
      <c r="K44">
        <v>0.4</v>
      </c>
      <c r="L44">
        <v>-0.1333333333333333</v>
      </c>
      <c r="M44">
        <v>-0.46666666666666667</v>
      </c>
      <c r="N44">
        <v>-0.1333333333333333</v>
      </c>
      <c r="O44">
        <v>-6.6666666666666666E-2</v>
      </c>
      <c r="P44">
        <v>-0.33333333333333331</v>
      </c>
      <c r="Q44">
        <v>-0.1333333333333333</v>
      </c>
      <c r="R44">
        <v>-0.26666666666666672</v>
      </c>
      <c r="S44">
        <v>0.1333333333333333</v>
      </c>
      <c r="T44">
        <v>-0.26666666666666672</v>
      </c>
      <c r="U44">
        <v>-0.4</v>
      </c>
      <c r="V44">
        <v>0</v>
      </c>
      <c r="W44">
        <v>-0.1333333333333333</v>
      </c>
      <c r="X44">
        <v>0</v>
      </c>
      <c r="Y44">
        <v>0.26666666666666672</v>
      </c>
      <c r="Z44">
        <v>0</v>
      </c>
      <c r="AA44">
        <v>0</v>
      </c>
      <c r="AB44">
        <v>-6.6666666666666666E-2</v>
      </c>
      <c r="AC44">
        <v>-0.2</v>
      </c>
      <c r="AD44">
        <v>-6.6666666666666666E-2</v>
      </c>
      <c r="AE44">
        <v>-0.26666666666666672</v>
      </c>
      <c r="AF44">
        <v>0</v>
      </c>
      <c r="AG44">
        <v>-6.6666666666666666E-2</v>
      </c>
      <c r="AH44">
        <v>-0.33333333333333331</v>
      </c>
      <c r="AI44">
        <v>0.1333333333333333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-0.26666666666666672</v>
      </c>
      <c r="AP44">
        <v>0</v>
      </c>
      <c r="AQ44">
        <v>6.6666666666666666E-2</v>
      </c>
      <c r="AR44">
        <v>0.26666666666666672</v>
      </c>
      <c r="AS44">
        <v>-6.6666666666666666E-2</v>
      </c>
      <c r="AT44">
        <v>-0.2</v>
      </c>
      <c r="AU44">
        <v>-0.33333333333333331</v>
      </c>
      <c r="AV44">
        <v>0</v>
      </c>
      <c r="AW44">
        <v>0</v>
      </c>
      <c r="AX44">
        <v>0.26666666666666672</v>
      </c>
      <c r="AY44">
        <v>-0.4</v>
      </c>
      <c r="AZ44">
        <v>-0.26666666666666672</v>
      </c>
      <c r="BA44">
        <v>0</v>
      </c>
    </row>
    <row r="45" spans="1:53" x14ac:dyDescent="0.3">
      <c r="A45" t="s">
        <v>96</v>
      </c>
      <c r="B45">
        <v>2.2666666666666661E-2</v>
      </c>
      <c r="C45">
        <v>7.8083622829598603E-2</v>
      </c>
      <c r="D45">
        <v>0</v>
      </c>
      <c r="E45">
        <v>0.33333333333333331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0.26666666666666672</v>
      </c>
      <c r="V45">
        <v>0</v>
      </c>
      <c r="W45">
        <v>0</v>
      </c>
      <c r="X45">
        <v>0</v>
      </c>
      <c r="Y45">
        <v>0.26666666666666672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0.26666666666666672</v>
      </c>
      <c r="BA45">
        <v>0</v>
      </c>
    </row>
    <row r="46" spans="1:53" x14ac:dyDescent="0.3">
      <c r="A46" t="s">
        <v>97</v>
      </c>
      <c r="B46">
        <v>6.6666666666666662E-3</v>
      </c>
      <c r="C46">
        <v>3.868589716493314E-2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6.6666666666666666E-2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0.26666666666666672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3">
      <c r="A47" t="s">
        <v>98</v>
      </c>
      <c r="B47">
        <v>-0.15866666666666671</v>
      </c>
      <c r="C47">
        <v>0.17242567165273839</v>
      </c>
      <c r="D47">
        <v>-0.26666666666666672</v>
      </c>
      <c r="E47">
        <v>-0.26666666666666672</v>
      </c>
      <c r="F47">
        <v>0.1333333333333333</v>
      </c>
      <c r="G47">
        <v>0.26666666666666672</v>
      </c>
      <c r="H47">
        <v>-0.26666666666666672</v>
      </c>
      <c r="I47">
        <v>-0.26666666666666672</v>
      </c>
      <c r="J47">
        <v>0</v>
      </c>
      <c r="K47">
        <v>-0.26666666666666672</v>
      </c>
      <c r="L47">
        <v>-0.2</v>
      </c>
      <c r="M47">
        <v>-0.26666666666666672</v>
      </c>
      <c r="N47">
        <v>-0.26666666666666672</v>
      </c>
      <c r="O47">
        <v>-0.26666666666666672</v>
      </c>
      <c r="P47">
        <v>-0.26666666666666672</v>
      </c>
      <c r="Q47">
        <v>0.26666666666666672</v>
      </c>
      <c r="R47">
        <v>-6.6666666666666666E-2</v>
      </c>
      <c r="S47">
        <v>-0.46666666666666667</v>
      </c>
      <c r="T47">
        <v>0</v>
      </c>
      <c r="U47">
        <v>-0.26666666666666672</v>
      </c>
      <c r="V47">
        <v>-0.1333333333333333</v>
      </c>
      <c r="W47">
        <v>-0.1333333333333333</v>
      </c>
      <c r="X47">
        <v>-0.26666666666666672</v>
      </c>
      <c r="Y47">
        <v>-0.26666666666666672</v>
      </c>
      <c r="Z47">
        <v>-0.26666666666666672</v>
      </c>
      <c r="AA47">
        <v>0</v>
      </c>
      <c r="AB47">
        <v>0</v>
      </c>
      <c r="AC47">
        <v>-0.26666666666666672</v>
      </c>
      <c r="AD47">
        <v>0</v>
      </c>
      <c r="AE47">
        <v>-0.26666666666666672</v>
      </c>
      <c r="AF47">
        <v>-0.2</v>
      </c>
      <c r="AG47">
        <v>-0.26666666666666672</v>
      </c>
      <c r="AH47">
        <v>-0.26666666666666672</v>
      </c>
      <c r="AI47">
        <v>-0.26666666666666672</v>
      </c>
      <c r="AJ47">
        <v>-0.26666666666666672</v>
      </c>
      <c r="AK47">
        <v>0</v>
      </c>
      <c r="AL47">
        <v>0</v>
      </c>
      <c r="AM47">
        <v>-0.26666666666666672</v>
      </c>
      <c r="AN47">
        <v>0</v>
      </c>
      <c r="AO47">
        <v>-0.33333333333333331</v>
      </c>
      <c r="AP47">
        <v>-0.4</v>
      </c>
      <c r="AQ47">
        <v>0</v>
      </c>
      <c r="AR47">
        <v>6.6666666666666666E-2</v>
      </c>
      <c r="AS47">
        <v>-0.26666666666666672</v>
      </c>
      <c r="AT47">
        <v>-0.26666666666666672</v>
      </c>
      <c r="AU47">
        <v>0</v>
      </c>
      <c r="AV47">
        <v>0</v>
      </c>
      <c r="AW47">
        <v>0</v>
      </c>
      <c r="AX47">
        <v>0.1333333333333333</v>
      </c>
      <c r="AY47">
        <v>-0.46666666666666667</v>
      </c>
      <c r="AZ47">
        <v>-0.26666666666666672</v>
      </c>
      <c r="BA47">
        <v>-0.26666666666666672</v>
      </c>
    </row>
    <row r="48" spans="1:53" x14ac:dyDescent="0.3">
      <c r="A48" t="s">
        <v>99</v>
      </c>
      <c r="B48">
        <v>3.0666666666666668E-2</v>
      </c>
      <c r="C48">
        <v>0.17777154184074401</v>
      </c>
      <c r="D48">
        <v>0</v>
      </c>
      <c r="E48">
        <v>0.4</v>
      </c>
      <c r="F48">
        <v>0.1333333333333333</v>
      </c>
      <c r="G48">
        <v>-0.1333333333333333</v>
      </c>
      <c r="H48">
        <v>0</v>
      </c>
      <c r="I48">
        <v>0.4</v>
      </c>
      <c r="J48">
        <v>0</v>
      </c>
      <c r="K48">
        <v>0</v>
      </c>
      <c r="L48">
        <v>0</v>
      </c>
      <c r="M48">
        <v>-6.6666666666666666E-2</v>
      </c>
      <c r="N48">
        <v>0</v>
      </c>
      <c r="O48">
        <v>0</v>
      </c>
      <c r="P48">
        <v>0.33333333333333331</v>
      </c>
      <c r="Q48">
        <v>0</v>
      </c>
      <c r="R48">
        <v>-6.6666666666666666E-2</v>
      </c>
      <c r="S48">
        <v>0</v>
      </c>
      <c r="T48">
        <v>0.4</v>
      </c>
      <c r="U48">
        <v>0</v>
      </c>
      <c r="V48">
        <v>-0.26666666666666672</v>
      </c>
      <c r="W48">
        <v>0</v>
      </c>
      <c r="X48">
        <v>0.2</v>
      </c>
      <c r="Y48">
        <v>0.1333333333333333</v>
      </c>
      <c r="Z48">
        <v>-0.1333333333333333</v>
      </c>
      <c r="AA48">
        <v>0</v>
      </c>
      <c r="AB48">
        <v>-0.26666666666666672</v>
      </c>
      <c r="AC48">
        <v>6.6666666666666666E-2</v>
      </c>
      <c r="AD48">
        <v>-0.26666666666666672</v>
      </c>
      <c r="AE48">
        <v>0</v>
      </c>
      <c r="AF48">
        <v>-6.6666666666666666E-2</v>
      </c>
      <c r="AG48">
        <v>0</v>
      </c>
      <c r="AH48">
        <v>0.4</v>
      </c>
      <c r="AI48">
        <v>-0.26666666666666672</v>
      </c>
      <c r="AJ48">
        <v>0</v>
      </c>
      <c r="AK48">
        <v>0.33333333333333331</v>
      </c>
      <c r="AL48">
        <v>0</v>
      </c>
      <c r="AM48">
        <v>0.4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-0.26666666666666672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-0.1333333333333333</v>
      </c>
      <c r="BA48">
        <v>0.26666666666666672</v>
      </c>
    </row>
    <row r="49" spans="1:53" x14ac:dyDescent="0.3">
      <c r="A49" t="s">
        <v>100</v>
      </c>
      <c r="B49">
        <v>-0.14533333333333329</v>
      </c>
      <c r="C49">
        <v>0.23778646645281959</v>
      </c>
      <c r="D49">
        <v>0</v>
      </c>
      <c r="E49">
        <v>0.26666666666666672</v>
      </c>
      <c r="F49">
        <v>0</v>
      </c>
      <c r="G49">
        <v>-0.4</v>
      </c>
      <c r="H49">
        <v>-0.26666666666666672</v>
      </c>
      <c r="I49">
        <v>-0.26666666666666672</v>
      </c>
      <c r="J49">
        <v>-0.26666666666666672</v>
      </c>
      <c r="K49">
        <v>-0.1333333333333333</v>
      </c>
      <c r="L49">
        <v>0.26666666666666672</v>
      </c>
      <c r="M49">
        <v>0.26666666666666672</v>
      </c>
      <c r="N49">
        <v>-0.26666666666666672</v>
      </c>
      <c r="O49">
        <v>-0.26666666666666672</v>
      </c>
      <c r="P49">
        <v>0</v>
      </c>
      <c r="Q49">
        <v>-0.26666666666666672</v>
      </c>
      <c r="R49">
        <v>0.33333333333333331</v>
      </c>
      <c r="S49">
        <v>-0.46666666666666667</v>
      </c>
      <c r="T49">
        <v>0.26666666666666672</v>
      </c>
      <c r="U49">
        <v>-0.26666666666666672</v>
      </c>
      <c r="V49">
        <v>0</v>
      </c>
      <c r="W49">
        <v>-0.26666666666666672</v>
      </c>
      <c r="X49">
        <v>-0.4</v>
      </c>
      <c r="Y49">
        <v>-0.1333333333333333</v>
      </c>
      <c r="Z49">
        <v>-0.4</v>
      </c>
      <c r="AA49">
        <v>-0.26666666666666672</v>
      </c>
      <c r="AB49">
        <v>-0.26666666666666672</v>
      </c>
      <c r="AC49">
        <v>-0.26666666666666672</v>
      </c>
      <c r="AD49">
        <v>0.1333333333333333</v>
      </c>
      <c r="AE49">
        <v>0</v>
      </c>
      <c r="AF49">
        <v>0.1333333333333333</v>
      </c>
      <c r="AG49">
        <v>0</v>
      </c>
      <c r="AH49">
        <v>-0.4</v>
      </c>
      <c r="AI49">
        <v>-0.4</v>
      </c>
      <c r="AJ49">
        <v>0</v>
      </c>
      <c r="AK49">
        <v>-0.53333333333333333</v>
      </c>
      <c r="AL49">
        <v>0.26666666666666672</v>
      </c>
      <c r="AM49">
        <v>-0.33333333333333331</v>
      </c>
      <c r="AN49">
        <v>0</v>
      </c>
      <c r="AO49">
        <v>-0.1333333333333333</v>
      </c>
      <c r="AP49">
        <v>0</v>
      </c>
      <c r="AQ49">
        <v>0.26666666666666672</v>
      </c>
      <c r="AR49">
        <v>-0.26666666666666672</v>
      </c>
      <c r="AS49">
        <v>-0.26666666666666672</v>
      </c>
      <c r="AT49">
        <v>-0.4</v>
      </c>
      <c r="AU49">
        <v>-0.26666666666666672</v>
      </c>
      <c r="AV49">
        <v>-0.26666666666666672</v>
      </c>
      <c r="AW49">
        <v>-0.2</v>
      </c>
      <c r="AX49">
        <v>6.6666666666666666E-2</v>
      </c>
      <c r="AY49">
        <v>-0.4</v>
      </c>
      <c r="AZ49">
        <v>-0.26666666666666672</v>
      </c>
      <c r="BA49">
        <v>-0.53333333333333333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tabSelected="1" topLeftCell="A2" workbookViewId="0">
      <selection activeCell="H5" sqref="H5"/>
    </sheetView>
  </sheetViews>
  <sheetFormatPr defaultRowHeight="14.4" x14ac:dyDescent="0.3"/>
  <cols>
    <col min="1" max="1" width="18.33203125" customWidth="1"/>
    <col min="2" max="2" width="15.33203125" bestFit="1" customWidth="1"/>
    <col min="3" max="3" width="15.6640625" bestFit="1" customWidth="1"/>
    <col min="4" max="4" width="27.44140625" bestFit="1" customWidth="1"/>
    <col min="5" max="5" width="12" bestFit="1" customWidth="1"/>
    <col min="6" max="6" width="17.44140625" style="3" bestFit="1" customWidth="1"/>
  </cols>
  <sheetData>
    <row r="1" spans="1:7" s="1" customFormat="1" x14ac:dyDescent="0.3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2" t="s">
        <v>105</v>
      </c>
      <c r="G1" s="1" t="s">
        <v>106</v>
      </c>
    </row>
    <row r="2" spans="1:7" x14ac:dyDescent="0.3">
      <c r="A2" t="s">
        <v>53</v>
      </c>
      <c r="B2">
        <v>-5.2520786056787232</v>
      </c>
      <c r="C2">
        <v>5.058006417016232</v>
      </c>
      <c r="D2">
        <f>_xlfn.NORM.S.DIST(B2, 1)</f>
        <v>7.5196124805776084E-8</v>
      </c>
      <c r="E2">
        <f>_xlfn.NORM.S.DIST(-C2, 1)</f>
        <v>2.1183109100793805E-7</v>
      </c>
      <c r="F2" s="3">
        <f>LOG10(E2)</f>
        <v>-6.6740102970036714</v>
      </c>
    </row>
    <row r="3" spans="1:7" x14ac:dyDescent="0.3">
      <c r="A3" t="s">
        <v>54</v>
      </c>
      <c r="B3">
        <v>-5.862235006329767</v>
      </c>
      <c r="C3">
        <v>6.5411575460383391</v>
      </c>
      <c r="D3">
        <f>_xlfn.NORM.S.DIST(B3, 1)</f>
        <v>2.2833903055391422E-9</v>
      </c>
      <c r="E3">
        <f t="shared" ref="E3:E49" si="0">_xlfn.NORM.S.DIST(-C3, 1)</f>
        <v>3.0522240825802525E-11</v>
      </c>
      <c r="F3" s="3">
        <f t="shared" ref="F3:F49" si="1">LOG10(E3)</f>
        <v>-10.515383585312289</v>
      </c>
    </row>
    <row r="4" spans="1:7" x14ac:dyDescent="0.3">
      <c r="A4" t="s">
        <v>55</v>
      </c>
      <c r="B4">
        <v>-4.4600512330285156</v>
      </c>
      <c r="C4">
        <v>6.0124447561268379</v>
      </c>
      <c r="D4">
        <f t="shared" ref="D4:D49" si="2">_xlfn.NORM.S.DIST(B4, 1)</f>
        <v>4.0970031466836429E-6</v>
      </c>
      <c r="E4">
        <f t="shared" si="0"/>
        <v>9.1373059221344883E-10</v>
      </c>
      <c r="F4" s="3">
        <f t="shared" si="1"/>
        <v>-9.0391818344216261</v>
      </c>
    </row>
    <row r="5" spans="1:7" x14ac:dyDescent="0.3">
      <c r="A5" t="s">
        <v>56</v>
      </c>
      <c r="B5">
        <v>-4.4115012099805071</v>
      </c>
      <c r="C5">
        <v>4.7993254921765969</v>
      </c>
      <c r="D5">
        <f t="shared" si="2"/>
        <v>5.1328190294401239E-6</v>
      </c>
      <c r="E5">
        <f t="shared" si="0"/>
        <v>7.9600440903797343E-7</v>
      </c>
      <c r="F5" s="3">
        <f t="shared" si="1"/>
        <v>-6.0990845267151457</v>
      </c>
    </row>
    <row r="6" spans="1:7" x14ac:dyDescent="0.3">
      <c r="A6" t="s">
        <v>57</v>
      </c>
      <c r="B6">
        <v>-4.5146073168076404</v>
      </c>
      <c r="C6">
        <v>5.770469304216963</v>
      </c>
      <c r="D6">
        <f t="shared" si="2"/>
        <v>3.171709696268789E-6</v>
      </c>
      <c r="E6">
        <f t="shared" si="0"/>
        <v>3.9525532346088089E-9</v>
      </c>
      <c r="F6" s="3">
        <f t="shared" si="1"/>
        <v>-8.4031222721000773</v>
      </c>
    </row>
    <row r="7" spans="1:7" x14ac:dyDescent="0.3">
      <c r="A7" t="s">
        <v>58</v>
      </c>
      <c r="B7">
        <v>-2.8718065267828758</v>
      </c>
      <c r="C7">
        <v>3.5099857549568498</v>
      </c>
      <c r="D7">
        <f t="shared" si="2"/>
        <v>2.0406637650841612E-3</v>
      </c>
      <c r="E7">
        <f t="shared" si="0"/>
        <v>2.2406535052072973E-4</v>
      </c>
      <c r="F7" s="3">
        <f t="shared" si="1"/>
        <v>-3.6496252975974945</v>
      </c>
    </row>
    <row r="8" spans="1:7" x14ac:dyDescent="0.3">
      <c r="A8" t="s">
        <v>59</v>
      </c>
      <c r="B8">
        <v>-3.9740429511477529</v>
      </c>
      <c r="C8">
        <v>3.501879432199507</v>
      </c>
      <c r="D8">
        <f t="shared" si="2"/>
        <v>3.5331405897829559E-5</v>
      </c>
      <c r="E8">
        <f t="shared" si="0"/>
        <v>2.3099431468752562E-4</v>
      </c>
      <c r="F8" s="3">
        <f t="shared" si="1"/>
        <v>-3.6363987089832688</v>
      </c>
    </row>
    <row r="9" spans="1:7" x14ac:dyDescent="0.3">
      <c r="A9" t="s">
        <v>60</v>
      </c>
      <c r="B9">
        <v>-4.2772888609491897</v>
      </c>
      <c r="C9">
        <v>3.931649357034102</v>
      </c>
      <c r="D9">
        <f t="shared" si="2"/>
        <v>9.459162496470251E-6</v>
      </c>
      <c r="E9">
        <f t="shared" si="0"/>
        <v>4.2182528294531707E-5</v>
      </c>
      <c r="F9" s="3">
        <f t="shared" si="1"/>
        <v>-4.3748673935046183</v>
      </c>
    </row>
    <row r="10" spans="1:7" x14ac:dyDescent="0.3">
      <c r="A10" t="s">
        <v>61</v>
      </c>
      <c r="B10">
        <v>-4.625127988929342</v>
      </c>
      <c r="C10">
        <v>4.0072326976774866</v>
      </c>
      <c r="D10">
        <f t="shared" si="2"/>
        <v>1.8718357901927326E-6</v>
      </c>
      <c r="E10">
        <f t="shared" si="0"/>
        <v>3.0717164302179695E-5</v>
      </c>
      <c r="F10" s="3">
        <f t="shared" si="1"/>
        <v>-4.5126188792902351</v>
      </c>
    </row>
    <row r="11" spans="1:7" x14ac:dyDescent="0.3">
      <c r="A11" t="s">
        <v>62</v>
      </c>
      <c r="B11">
        <v>-6.853727792885203</v>
      </c>
      <c r="C11">
        <v>7.0290896980336557</v>
      </c>
      <c r="D11">
        <f t="shared" si="2"/>
        <v>3.5974966525520413E-12</v>
      </c>
      <c r="E11">
        <f t="shared" si="0"/>
        <v>1.0394265561742758E-12</v>
      </c>
      <c r="F11" s="3">
        <f t="shared" si="1"/>
        <v>-11.983206191638022</v>
      </c>
    </row>
    <row r="12" spans="1:7" x14ac:dyDescent="0.3">
      <c r="A12" t="s">
        <v>63</v>
      </c>
      <c r="B12">
        <v>-4.7803864044614963</v>
      </c>
      <c r="C12">
        <v>5.6921095846938474</v>
      </c>
      <c r="D12">
        <f t="shared" si="2"/>
        <v>8.7479297277812946E-7</v>
      </c>
      <c r="E12">
        <f t="shared" si="0"/>
        <v>6.2739636734084673E-9</v>
      </c>
      <c r="F12" s="3">
        <f t="shared" si="1"/>
        <v>-8.2024580002197087</v>
      </c>
    </row>
    <row r="13" spans="1:7" x14ac:dyDescent="0.3">
      <c r="A13" t="s">
        <v>64</v>
      </c>
      <c r="B13">
        <v>-5.412707337554993</v>
      </c>
      <c r="C13">
        <v>5.2937467367296076</v>
      </c>
      <c r="D13">
        <f t="shared" si="2"/>
        <v>3.1039453979839216E-8</v>
      </c>
      <c r="E13">
        <f t="shared" si="0"/>
        <v>5.9917684093331926E-8</v>
      </c>
      <c r="F13" s="3">
        <f t="shared" si="1"/>
        <v>-7.2224449811050491</v>
      </c>
    </row>
    <row r="14" spans="1:7" x14ac:dyDescent="0.3">
      <c r="A14" t="s">
        <v>65</v>
      </c>
      <c r="B14">
        <v>-5.0944188528502314</v>
      </c>
      <c r="C14">
        <v>4.4576164962439524</v>
      </c>
      <c r="D14">
        <f t="shared" si="2"/>
        <v>1.7490631175370379E-7</v>
      </c>
      <c r="E14">
        <f t="shared" si="0"/>
        <v>4.1437999841977322E-6</v>
      </c>
      <c r="F14" s="3">
        <f t="shared" si="1"/>
        <v>-5.3826012155831977</v>
      </c>
    </row>
    <row r="15" spans="1:7" x14ac:dyDescent="0.3">
      <c r="A15" t="s">
        <v>66</v>
      </c>
      <c r="B15">
        <v>-4.7503291454425902</v>
      </c>
      <c r="C15">
        <v>2.990344419172267</v>
      </c>
      <c r="D15">
        <f t="shared" si="2"/>
        <v>1.0154290966126891E-6</v>
      </c>
      <c r="E15">
        <f t="shared" si="0"/>
        <v>1.393315223969201E-3</v>
      </c>
      <c r="F15" s="3">
        <f t="shared" si="1"/>
        <v>-2.8559506175723954</v>
      </c>
    </row>
    <row r="16" spans="1:7" x14ac:dyDescent="0.3">
      <c r="A16" t="s">
        <v>67</v>
      </c>
      <c r="B16">
        <v>-4.2872158279362926</v>
      </c>
      <c r="C16">
        <v>4.7837308013275797</v>
      </c>
      <c r="D16">
        <f t="shared" si="2"/>
        <v>9.0463243439241833E-6</v>
      </c>
      <c r="E16">
        <f t="shared" si="0"/>
        <v>8.60355510960197E-7</v>
      </c>
      <c r="F16" s="3">
        <f t="shared" si="1"/>
        <v>-6.0653220551000526</v>
      </c>
    </row>
    <row r="17" spans="1:6" x14ac:dyDescent="0.3">
      <c r="A17" t="s">
        <v>68</v>
      </c>
      <c r="B17">
        <v>-4.5059524011031202</v>
      </c>
      <c r="C17">
        <v>4.8200928735111832</v>
      </c>
      <c r="D17">
        <f t="shared" si="2"/>
        <v>3.3037949586271235E-6</v>
      </c>
      <c r="E17">
        <f t="shared" si="0"/>
        <v>7.1745702487765581E-7</v>
      </c>
      <c r="F17" s="3">
        <f t="shared" si="1"/>
        <v>-6.1442041077193466</v>
      </c>
    </row>
    <row r="18" spans="1:6" x14ac:dyDescent="0.3">
      <c r="A18" t="s">
        <v>69</v>
      </c>
      <c r="B18">
        <v>-4.4678384363632304</v>
      </c>
      <c r="C18">
        <v>4.7205182451035634</v>
      </c>
      <c r="D18">
        <f t="shared" si="2"/>
        <v>3.9506972092707605E-6</v>
      </c>
      <c r="E18">
        <f t="shared" si="0"/>
        <v>1.1762225267176267E-6</v>
      </c>
      <c r="F18" s="3">
        <f t="shared" si="1"/>
        <v>-5.9295105073557828</v>
      </c>
    </row>
    <row r="19" spans="1:6" x14ac:dyDescent="0.3">
      <c r="A19" t="s">
        <v>70</v>
      </c>
      <c r="B19">
        <v>-3.7120947940007869</v>
      </c>
      <c r="C19">
        <v>3.4571869969878608</v>
      </c>
      <c r="D19">
        <f t="shared" si="2"/>
        <v>1.0277548531965217E-4</v>
      </c>
      <c r="E19">
        <f t="shared" si="0"/>
        <v>2.7292296763694858E-4</v>
      </c>
      <c r="F19" s="3">
        <f t="shared" si="1"/>
        <v>-3.5639599150509911</v>
      </c>
    </row>
    <row r="20" spans="1:6" x14ac:dyDescent="0.3">
      <c r="A20" t="s">
        <v>71</v>
      </c>
      <c r="B20">
        <v>-3.8643864579696618</v>
      </c>
      <c r="C20">
        <v>2.7862786417969678</v>
      </c>
      <c r="D20">
        <f t="shared" si="2"/>
        <v>5.5684389476009262E-5</v>
      </c>
      <c r="E20">
        <f t="shared" si="0"/>
        <v>2.6658509492605846E-3</v>
      </c>
      <c r="F20" s="3">
        <f t="shared" si="1"/>
        <v>-2.5741641361386769</v>
      </c>
    </row>
    <row r="21" spans="1:6" x14ac:dyDescent="0.3">
      <c r="A21" t="s">
        <v>72</v>
      </c>
      <c r="B21">
        <v>-4.7476309881876873</v>
      </c>
      <c r="C21">
        <v>5.0572590961129738</v>
      </c>
      <c r="D21">
        <f t="shared" si="2"/>
        <v>1.029065484051331E-6</v>
      </c>
      <c r="E21">
        <f t="shared" si="0"/>
        <v>2.1266260051222015E-7</v>
      </c>
      <c r="F21" s="3">
        <f t="shared" si="1"/>
        <v>-6.6723088797225794</v>
      </c>
    </row>
    <row r="22" spans="1:6" x14ac:dyDescent="0.3">
      <c r="A22" t="s">
        <v>73</v>
      </c>
      <c r="B22">
        <v>-5.7917902618349464</v>
      </c>
      <c r="C22">
        <v>4.9736191467801962</v>
      </c>
      <c r="D22">
        <f t="shared" si="2"/>
        <v>3.48200379204898E-9</v>
      </c>
      <c r="E22">
        <f t="shared" si="0"/>
        <v>3.2857176569567846E-7</v>
      </c>
      <c r="F22" s="3">
        <f t="shared" si="1"/>
        <v>-6.4833697583975836</v>
      </c>
    </row>
    <row r="23" spans="1:6" x14ac:dyDescent="0.3">
      <c r="A23" t="s">
        <v>74</v>
      </c>
      <c r="B23">
        <v>-5.3313140724137922</v>
      </c>
      <c r="C23">
        <v>5.5243028171165536</v>
      </c>
      <c r="D23">
        <f t="shared" si="2"/>
        <v>4.8752308568394059E-8</v>
      </c>
      <c r="E23">
        <f t="shared" si="0"/>
        <v>1.6539825355196955E-8</v>
      </c>
      <c r="F23" s="3">
        <f t="shared" si="1"/>
        <v>-7.7814690804953637</v>
      </c>
    </row>
    <row r="24" spans="1:6" x14ac:dyDescent="0.3">
      <c r="A24" t="s">
        <v>75</v>
      </c>
      <c r="B24">
        <v>-5.7670417620803827</v>
      </c>
      <c r="C24">
        <v>7.8773788106650002</v>
      </c>
      <c r="D24">
        <f t="shared" si="2"/>
        <v>4.0337533224965464E-9</v>
      </c>
      <c r="E24">
        <f t="shared" si="0"/>
        <v>1.671600900247673E-15</v>
      </c>
      <c r="F24" s="3">
        <f t="shared" si="1"/>
        <v>-14.776867403637235</v>
      </c>
    </row>
    <row r="25" spans="1:6" x14ac:dyDescent="0.3">
      <c r="A25" t="s">
        <v>76</v>
      </c>
      <c r="B25">
        <v>-3.1475442036734131</v>
      </c>
      <c r="C25">
        <v>3.5652277946822108</v>
      </c>
      <c r="D25">
        <f t="shared" si="2"/>
        <v>8.2324104590307588E-4</v>
      </c>
      <c r="E25">
        <f t="shared" si="0"/>
        <v>1.8177014988546088E-4</v>
      </c>
      <c r="F25" s="3">
        <f t="shared" si="1"/>
        <v>-3.7404774346696978</v>
      </c>
    </row>
    <row r="26" spans="1:6" x14ac:dyDescent="0.3">
      <c r="A26" t="s">
        <v>77</v>
      </c>
      <c r="B26">
        <v>-4.9543697480053206</v>
      </c>
      <c r="C26">
        <v>4.9764382101345186</v>
      </c>
      <c r="D26">
        <f t="shared" si="2"/>
        <v>3.6282552716275526E-7</v>
      </c>
      <c r="E26">
        <f t="shared" si="0"/>
        <v>3.2382468708472559E-7</v>
      </c>
      <c r="F26" s="3">
        <f t="shared" si="1"/>
        <v>-6.4896900454653519</v>
      </c>
    </row>
    <row r="27" spans="1:6" x14ac:dyDescent="0.3">
      <c r="A27" t="s">
        <v>78</v>
      </c>
      <c r="B27">
        <v>-4.2473457126658767</v>
      </c>
      <c r="C27">
        <v>5.3288979365807929</v>
      </c>
      <c r="D27">
        <f t="shared" si="2"/>
        <v>1.0815901693713682E-5</v>
      </c>
      <c r="E27">
        <f t="shared" si="0"/>
        <v>4.9405250671270558E-8</v>
      </c>
      <c r="F27" s="3">
        <f t="shared" si="1"/>
        <v>-7.3062268928500291</v>
      </c>
    </row>
    <row r="28" spans="1:6" x14ac:dyDescent="0.3">
      <c r="A28" t="s">
        <v>79</v>
      </c>
      <c r="B28">
        <v>-5.332436542873527</v>
      </c>
      <c r="C28">
        <v>6.9417140673212998</v>
      </c>
      <c r="D28">
        <f t="shared" si="2"/>
        <v>4.8451818825672971E-8</v>
      </c>
      <c r="E28">
        <f t="shared" si="0"/>
        <v>1.9368533485750066E-12</v>
      </c>
      <c r="F28" s="3">
        <f>LOG10(E28)</f>
        <v>-11.712903261219846</v>
      </c>
    </row>
    <row r="29" spans="1:6" x14ac:dyDescent="0.3">
      <c r="A29" t="s">
        <v>80</v>
      </c>
      <c r="B29">
        <v>-6.44</v>
      </c>
      <c r="C29">
        <v>6.8600000000000039</v>
      </c>
      <c r="D29">
        <f t="shared" si="2"/>
        <v>5.9736751039730348E-11</v>
      </c>
      <c r="E29">
        <f t="shared" si="0"/>
        <v>3.4430273992369047E-12</v>
      </c>
      <c r="F29" s="3">
        <f t="shared" si="1"/>
        <v>-11.463059521213406</v>
      </c>
    </row>
    <row r="30" spans="1:6" x14ac:dyDescent="0.3">
      <c r="A30" t="s">
        <v>81</v>
      </c>
      <c r="B30">
        <v>-2.6533159386106808</v>
      </c>
      <c r="C30">
        <v>3.494611236218943</v>
      </c>
      <c r="D30">
        <f t="shared" si="2"/>
        <v>3.9852613880441744E-3</v>
      </c>
      <c r="E30">
        <f t="shared" si="0"/>
        <v>2.3737636484431855E-4</v>
      </c>
      <c r="F30" s="3">
        <f t="shared" si="1"/>
        <v>-3.6245625251821418</v>
      </c>
    </row>
    <row r="31" spans="1:6" x14ac:dyDescent="0.3">
      <c r="A31" t="s">
        <v>82</v>
      </c>
      <c r="B31">
        <v>-5.3666666666666663</v>
      </c>
      <c r="C31">
        <v>5.7166666666666686</v>
      </c>
      <c r="D31">
        <f t="shared" si="2"/>
        <v>4.010254319051454E-8</v>
      </c>
      <c r="E31">
        <f t="shared" si="0"/>
        <v>5.4316958839527243E-9</v>
      </c>
      <c r="F31" s="3">
        <f t="shared" si="1"/>
        <v>-8.2650645538266954</v>
      </c>
    </row>
    <row r="32" spans="1:6" x14ac:dyDescent="0.3">
      <c r="A32" t="s">
        <v>83</v>
      </c>
      <c r="B32">
        <v>-3.370785058363936</v>
      </c>
      <c r="C32">
        <v>5.2172023514804877</v>
      </c>
      <c r="D32">
        <f t="shared" si="2"/>
        <v>3.7477157277459629E-4</v>
      </c>
      <c r="E32">
        <f t="shared" si="0"/>
        <v>9.0822893390573391E-8</v>
      </c>
      <c r="F32" s="3">
        <f t="shared" si="1"/>
        <v>-7.0418046666770255</v>
      </c>
    </row>
    <row r="33" spans="1:6" x14ac:dyDescent="0.3">
      <c r="A33" t="s">
        <v>84</v>
      </c>
      <c r="B33">
        <v>-2.0499421792505341</v>
      </c>
      <c r="C33">
        <v>3.7776526447058321</v>
      </c>
      <c r="D33">
        <f t="shared" si="2"/>
        <v>2.0185036763993101E-2</v>
      </c>
      <c r="E33">
        <f t="shared" si="0"/>
        <v>7.915673678350431E-5</v>
      </c>
      <c r="F33" s="3">
        <f t="shared" si="1"/>
        <v>-4.1015121177770197</v>
      </c>
    </row>
    <row r="34" spans="1:6" x14ac:dyDescent="0.3">
      <c r="A34" t="s">
        <v>85</v>
      </c>
      <c r="B34">
        <v>-4.2292279100426597</v>
      </c>
      <c r="C34">
        <v>3.8874721193321431</v>
      </c>
      <c r="D34">
        <f t="shared" si="2"/>
        <v>1.1724734818668734E-5</v>
      </c>
      <c r="E34">
        <f t="shared" si="0"/>
        <v>5.0646809062331049E-5</v>
      </c>
      <c r="F34" s="3">
        <f t="shared" si="1"/>
        <v>-4.2954479116122162</v>
      </c>
    </row>
    <row r="35" spans="1:6" x14ac:dyDescent="0.3">
      <c r="A35" t="s">
        <v>86</v>
      </c>
      <c r="B35">
        <v>-8.1175858480215606</v>
      </c>
      <c r="C35">
        <v>8.7115555442182657</v>
      </c>
      <c r="D35">
        <f t="shared" si="2"/>
        <v>2.3777420130339213E-16</v>
      </c>
      <c r="E35">
        <f t="shared" si="0"/>
        <v>1.4986642967534269E-18</v>
      </c>
      <c r="F35" s="3">
        <f t="shared" si="1"/>
        <v>-17.824295638929826</v>
      </c>
    </row>
    <row r="36" spans="1:6" x14ac:dyDescent="0.3">
      <c r="A36" t="s">
        <v>87</v>
      </c>
      <c r="B36">
        <v>-3.5713250667321019</v>
      </c>
      <c r="C36">
        <v>4.4361302398421181</v>
      </c>
      <c r="D36">
        <f t="shared" si="2"/>
        <v>1.7758987066662235E-4</v>
      </c>
      <c r="E36">
        <f t="shared" si="0"/>
        <v>4.57952234531244E-6</v>
      </c>
      <c r="F36" s="3">
        <f t="shared" si="1"/>
        <v>-5.3391798175448351</v>
      </c>
    </row>
    <row r="37" spans="1:6" x14ac:dyDescent="0.3">
      <c r="A37" t="s">
        <v>88</v>
      </c>
      <c r="B37">
        <v>-4.4234452058530644</v>
      </c>
      <c r="C37">
        <v>6.227910105691139</v>
      </c>
      <c r="D37">
        <f t="shared" si="2"/>
        <v>4.8569638502733504E-6</v>
      </c>
      <c r="E37">
        <f t="shared" si="0"/>
        <v>2.363490718212853E-10</v>
      </c>
      <c r="F37" s="3">
        <f t="shared" si="1"/>
        <v>-9.6264460988981337</v>
      </c>
    </row>
    <row r="38" spans="1:6" x14ac:dyDescent="0.3">
      <c r="A38" t="s">
        <v>89</v>
      </c>
      <c r="B38">
        <v>-5.1646744206851611</v>
      </c>
      <c r="C38">
        <v>5.8117029834555636</v>
      </c>
      <c r="D38">
        <f t="shared" si="2"/>
        <v>1.2042889497038547E-7</v>
      </c>
      <c r="E38">
        <f t="shared" si="0"/>
        <v>3.0920244767281648E-9</v>
      </c>
      <c r="F38" s="3">
        <f t="shared" si="1"/>
        <v>-8.5097570768281301</v>
      </c>
    </row>
    <row r="39" spans="1:6" x14ac:dyDescent="0.3">
      <c r="A39" t="s">
        <v>90</v>
      </c>
      <c r="B39">
        <v>-4.6150729794814644</v>
      </c>
      <c r="C39">
        <v>4.13606340875684</v>
      </c>
      <c r="D39">
        <f t="shared" si="2"/>
        <v>1.9647860445849004E-6</v>
      </c>
      <c r="E39">
        <f t="shared" si="0"/>
        <v>1.7665729979284438E-5</v>
      </c>
      <c r="F39" s="3">
        <f t="shared" si="1"/>
        <v>-4.7528684120403435</v>
      </c>
    </row>
    <row r="40" spans="1:6" x14ac:dyDescent="0.3">
      <c r="A40" t="s">
        <v>91</v>
      </c>
      <c r="B40">
        <v>-8.1175858480215606</v>
      </c>
      <c r="C40">
        <v>8.7115555442182657</v>
      </c>
      <c r="D40">
        <f t="shared" si="2"/>
        <v>2.3777420130339213E-16</v>
      </c>
      <c r="E40">
        <f t="shared" si="0"/>
        <v>1.4986642967534269E-18</v>
      </c>
      <c r="F40" s="3">
        <f t="shared" si="1"/>
        <v>-17.824295638929826</v>
      </c>
    </row>
    <row r="41" spans="1:6" x14ac:dyDescent="0.3">
      <c r="A41" t="s">
        <v>92</v>
      </c>
      <c r="B41">
        <v>-6.8268598592830907</v>
      </c>
      <c r="C41">
        <v>7.1896398518053832</v>
      </c>
      <c r="D41">
        <f t="shared" si="2"/>
        <v>4.3396702261527626E-12</v>
      </c>
      <c r="E41">
        <f t="shared" si="0"/>
        <v>3.2481224549723051E-13</v>
      </c>
      <c r="F41" s="3">
        <f t="shared" si="1"/>
        <v>-12.488367606119205</v>
      </c>
    </row>
    <row r="42" spans="1:6" x14ac:dyDescent="0.3">
      <c r="A42" t="s">
        <v>93</v>
      </c>
      <c r="B42">
        <v>-3.748172120000862</v>
      </c>
      <c r="C42">
        <v>4.499639391003484</v>
      </c>
      <c r="D42">
        <f t="shared" si="2"/>
        <v>8.9064001378909139E-5</v>
      </c>
      <c r="E42">
        <f t="shared" si="0"/>
        <v>3.4034416846181904E-6</v>
      </c>
      <c r="F42" s="3">
        <f t="shared" si="1"/>
        <v>-5.4680816863008985</v>
      </c>
    </row>
    <row r="43" spans="1:6" x14ac:dyDescent="0.3">
      <c r="A43" t="s">
        <v>94</v>
      </c>
      <c r="B43">
        <v>-4.5975218305673833</v>
      </c>
      <c r="C43">
        <v>5.2896218910829029</v>
      </c>
      <c r="D43">
        <f t="shared" si="2"/>
        <v>2.1377292120028782E-6</v>
      </c>
      <c r="E43">
        <f t="shared" si="0"/>
        <v>6.1284738460716412E-8</v>
      </c>
      <c r="F43" s="3">
        <f t="shared" si="1"/>
        <v>-7.2126476629612366</v>
      </c>
    </row>
    <row r="44" spans="1:6" x14ac:dyDescent="0.3">
      <c r="A44" t="s">
        <v>95</v>
      </c>
      <c r="B44">
        <v>-2.7765987539082539</v>
      </c>
      <c r="C44">
        <v>4.0925908716460206</v>
      </c>
      <c r="D44">
        <f t="shared" si="2"/>
        <v>2.7465472512556632E-3</v>
      </c>
      <c r="E44">
        <f t="shared" si="0"/>
        <v>2.1328999360738501E-5</v>
      </c>
      <c r="F44" s="3">
        <f t="shared" si="1"/>
        <v>-4.6710295187795143</v>
      </c>
    </row>
    <row r="45" spans="1:6" x14ac:dyDescent="0.3">
      <c r="A45" t="s">
        <v>96</v>
      </c>
      <c r="B45">
        <v>-5.4130002086231253</v>
      </c>
      <c r="C45">
        <v>7.3937826193495688</v>
      </c>
      <c r="D45">
        <f t="shared" si="2"/>
        <v>3.098870905482799E-8</v>
      </c>
      <c r="E45">
        <f t="shared" si="0"/>
        <v>7.1354825577656931E-14</v>
      </c>
      <c r="F45" s="3">
        <f t="shared" si="1"/>
        <v>-13.14657665112842</v>
      </c>
    </row>
    <row r="46" spans="1:6" x14ac:dyDescent="0.3">
      <c r="A46" t="s">
        <v>97</v>
      </c>
      <c r="B46">
        <v>-15.681855950766989</v>
      </c>
      <c r="C46">
        <v>17.060480649735521</v>
      </c>
      <c r="D46">
        <f t="shared" si="2"/>
        <v>1.0064289355340273E-55</v>
      </c>
      <c r="E46">
        <f t="shared" si="0"/>
        <v>1.4607077814515031E-65</v>
      </c>
      <c r="F46" s="3">
        <f t="shared" si="1"/>
        <v>-64.835436657163925</v>
      </c>
    </row>
    <row r="47" spans="1:6" x14ac:dyDescent="0.3">
      <c r="A47" t="s">
        <v>98</v>
      </c>
      <c r="B47">
        <v>-2.5595569911548268</v>
      </c>
      <c r="C47">
        <v>4.7866035574768544</v>
      </c>
      <c r="D47">
        <f t="shared" si="2"/>
        <v>5.2402834911132821E-3</v>
      </c>
      <c r="E47">
        <f t="shared" si="0"/>
        <v>8.4813716014367721E-7</v>
      </c>
      <c r="F47" s="3">
        <f t="shared" si="1"/>
        <v>-6.0715339082661197</v>
      </c>
    </row>
    <row r="48" spans="1:6" x14ac:dyDescent="0.3">
      <c r="A48" t="s">
        <v>99</v>
      </c>
      <c r="B48">
        <v>-3.5476244405397979</v>
      </c>
      <c r="C48">
        <v>3.5776254928910891</v>
      </c>
      <c r="D48">
        <f t="shared" si="2"/>
        <v>1.9436103602889351E-4</v>
      </c>
      <c r="E48">
        <f t="shared" si="0"/>
        <v>1.7336488133096081E-4</v>
      </c>
      <c r="F48" s="3">
        <f t="shared" si="1"/>
        <v>-3.761038873346894</v>
      </c>
    </row>
    <row r="49" spans="1:6" x14ac:dyDescent="0.3">
      <c r="A49" t="s">
        <v>100</v>
      </c>
      <c r="B49">
        <v>-1.9120796631076531</v>
      </c>
      <c r="C49">
        <v>3.134464902279114</v>
      </c>
      <c r="D49">
        <f t="shared" si="2"/>
        <v>2.7932988454619986E-2</v>
      </c>
      <c r="E49">
        <f t="shared" si="0"/>
        <v>8.6083924198318367E-4</v>
      </c>
      <c r="F49" s="3">
        <f t="shared" si="1"/>
        <v>-3.0650779435964819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null_model</vt:lpstr>
      <vt:lpstr>Statistical Significance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Omer Kahveci</cp:lastModifiedBy>
  <dcterms:created xsi:type="dcterms:W3CDTF">2025-04-18T14:40:54Z</dcterms:created>
  <dcterms:modified xsi:type="dcterms:W3CDTF">2025-04-18T16:30:51Z</dcterms:modified>
</cp:coreProperties>
</file>